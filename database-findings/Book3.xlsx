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escocipollone/Documents/GitHub/Shai-Halud-tinycolour-compromise-verifier/database-findings/"/>
    </mc:Choice>
  </mc:AlternateContent>
  <xr:revisionPtr revIDLastSave="0" documentId="13_ncr:1_{B7F08DD6-2417-EE43-9C8F-6C089D3163E8}" xr6:coauthVersionLast="47" xr6:coauthVersionMax="47" xr10:uidLastSave="{00000000-0000-0000-0000-000000000000}"/>
  <bookViews>
    <workbookView xWindow="3660" yWindow="2380" windowWidth="27640" windowHeight="16680" xr2:uid="{08881E3E-D20D-2749-B0D2-161004148CAB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81" i="1" l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E863" i="1"/>
  <c r="D863" i="1"/>
  <c r="F863" i="1" s="1"/>
  <c r="C863" i="1"/>
  <c r="E862" i="1"/>
  <c r="D862" i="1"/>
  <c r="F862" i="1" s="1"/>
  <c r="C862" i="1"/>
  <c r="F861" i="1"/>
  <c r="E861" i="1"/>
  <c r="D861" i="1"/>
  <c r="C861" i="1"/>
  <c r="F860" i="1"/>
  <c r="E860" i="1"/>
  <c r="D860" i="1"/>
  <c r="C860" i="1"/>
  <c r="E859" i="1"/>
  <c r="D859" i="1"/>
  <c r="F859" i="1" s="1"/>
  <c r="C859" i="1"/>
  <c r="F858" i="1"/>
  <c r="E858" i="1"/>
  <c r="D858" i="1"/>
  <c r="C858" i="1"/>
  <c r="E857" i="1"/>
  <c r="D857" i="1"/>
  <c r="F857" i="1" s="1"/>
  <c r="C857" i="1"/>
  <c r="E856" i="1"/>
  <c r="D856" i="1"/>
  <c r="F856" i="1" s="1"/>
  <c r="C856" i="1"/>
  <c r="F855" i="1"/>
  <c r="E855" i="1"/>
  <c r="D855" i="1"/>
  <c r="C855" i="1"/>
  <c r="F854" i="1"/>
  <c r="E854" i="1"/>
  <c r="D854" i="1"/>
  <c r="C854" i="1"/>
  <c r="E853" i="1"/>
  <c r="D853" i="1"/>
  <c r="F853" i="1" s="1"/>
  <c r="C853" i="1"/>
  <c r="F852" i="1"/>
  <c r="E852" i="1"/>
  <c r="D852" i="1"/>
  <c r="C852" i="1"/>
  <c r="F851" i="1"/>
  <c r="E851" i="1"/>
  <c r="D851" i="1"/>
  <c r="C851" i="1"/>
  <c r="E850" i="1"/>
  <c r="D850" i="1"/>
  <c r="F850" i="1" s="1"/>
  <c r="C850" i="1"/>
  <c r="F849" i="1"/>
  <c r="E849" i="1"/>
  <c r="D849" i="1"/>
  <c r="C849" i="1"/>
  <c r="E848" i="1"/>
  <c r="D848" i="1"/>
  <c r="F848" i="1" s="1"/>
  <c r="C848" i="1"/>
  <c r="E847" i="1"/>
  <c r="D847" i="1"/>
  <c r="F847" i="1" s="1"/>
  <c r="C847" i="1"/>
  <c r="F846" i="1"/>
  <c r="E846" i="1"/>
  <c r="D846" i="1"/>
  <c r="C846" i="1"/>
  <c r="E845" i="1"/>
  <c r="D845" i="1"/>
  <c r="F845" i="1" s="1"/>
  <c r="C845" i="1"/>
  <c r="E844" i="1"/>
  <c r="D844" i="1"/>
  <c r="F844" i="1" s="1"/>
  <c r="C844" i="1"/>
  <c r="F843" i="1"/>
  <c r="E843" i="1"/>
  <c r="D843" i="1"/>
  <c r="C843" i="1"/>
  <c r="E842" i="1"/>
  <c r="D842" i="1"/>
  <c r="F842" i="1" s="1"/>
  <c r="C842" i="1"/>
  <c r="E841" i="1"/>
  <c r="D841" i="1"/>
  <c r="F841" i="1" s="1"/>
  <c r="C841" i="1"/>
  <c r="F840" i="1"/>
  <c r="E840" i="1"/>
  <c r="D840" i="1"/>
  <c r="C840" i="1"/>
  <c r="E839" i="1"/>
  <c r="D839" i="1"/>
  <c r="F839" i="1" s="1"/>
  <c r="C839" i="1"/>
  <c r="E838" i="1"/>
  <c r="D838" i="1"/>
  <c r="F838" i="1" s="1"/>
  <c r="C838" i="1"/>
  <c r="F837" i="1"/>
  <c r="E837" i="1"/>
  <c r="D837" i="1"/>
  <c r="C837" i="1"/>
  <c r="F836" i="1"/>
  <c r="E836" i="1"/>
  <c r="D836" i="1"/>
  <c r="C836" i="1"/>
  <c r="E835" i="1"/>
  <c r="D835" i="1"/>
  <c r="F835" i="1" s="1"/>
  <c r="C835" i="1"/>
  <c r="F834" i="1"/>
  <c r="E834" i="1"/>
  <c r="D834" i="1"/>
  <c r="C834" i="1"/>
  <c r="F833" i="1"/>
  <c r="E833" i="1"/>
  <c r="D833" i="1"/>
  <c r="C833" i="1"/>
  <c r="E832" i="1"/>
  <c r="D832" i="1"/>
  <c r="F832" i="1" s="1"/>
  <c r="C832" i="1"/>
  <c r="F831" i="1"/>
  <c r="E831" i="1"/>
  <c r="D831" i="1"/>
  <c r="C831" i="1"/>
  <c r="E830" i="1"/>
  <c r="D830" i="1"/>
  <c r="F830" i="1" s="1"/>
  <c r="C830" i="1"/>
  <c r="E829" i="1"/>
  <c r="D829" i="1"/>
  <c r="F829" i="1" s="1"/>
  <c r="C829" i="1"/>
  <c r="F828" i="1"/>
  <c r="E828" i="1"/>
  <c r="D828" i="1"/>
  <c r="C828" i="1"/>
  <c r="E827" i="1"/>
  <c r="D827" i="1"/>
  <c r="F827" i="1" s="1"/>
  <c r="C827" i="1"/>
  <c r="E826" i="1"/>
  <c r="D826" i="1"/>
  <c r="F826" i="1" s="1"/>
  <c r="C826" i="1"/>
  <c r="F825" i="1"/>
  <c r="E825" i="1"/>
  <c r="D825" i="1"/>
  <c r="C825" i="1"/>
  <c r="F824" i="1"/>
  <c r="E824" i="1"/>
  <c r="D824" i="1"/>
  <c r="C824" i="1"/>
  <c r="E823" i="1"/>
  <c r="D823" i="1"/>
  <c r="F823" i="1" s="1"/>
  <c r="C823" i="1"/>
  <c r="F822" i="1"/>
  <c r="E822" i="1"/>
  <c r="D822" i="1"/>
  <c r="C822" i="1"/>
  <c r="E821" i="1"/>
  <c r="D821" i="1"/>
  <c r="F821" i="1" s="1"/>
  <c r="C821" i="1"/>
  <c r="E820" i="1"/>
  <c r="D820" i="1"/>
  <c r="F820" i="1" s="1"/>
  <c r="C820" i="1"/>
  <c r="F819" i="1"/>
  <c r="E819" i="1"/>
  <c r="D819" i="1"/>
  <c r="C819" i="1"/>
  <c r="F818" i="1"/>
  <c r="E818" i="1"/>
  <c r="D818" i="1"/>
  <c r="C818" i="1"/>
  <c r="E817" i="1"/>
  <c r="D817" i="1"/>
  <c r="F817" i="1" s="1"/>
  <c r="C817" i="1"/>
  <c r="F816" i="1"/>
  <c r="E816" i="1"/>
  <c r="D816" i="1"/>
  <c r="C816" i="1"/>
  <c r="F815" i="1"/>
  <c r="E815" i="1"/>
  <c r="D815" i="1"/>
  <c r="C815" i="1"/>
  <c r="E814" i="1"/>
  <c r="D814" i="1"/>
  <c r="F814" i="1" s="1"/>
  <c r="C814" i="1"/>
  <c r="F813" i="1"/>
  <c r="E813" i="1"/>
  <c r="D813" i="1"/>
  <c r="C813" i="1"/>
  <c r="E812" i="1"/>
  <c r="D812" i="1"/>
  <c r="F812" i="1" s="1"/>
  <c r="C812" i="1"/>
  <c r="E811" i="1"/>
  <c r="D811" i="1"/>
  <c r="F811" i="1" s="1"/>
  <c r="C811" i="1"/>
  <c r="F810" i="1"/>
  <c r="E810" i="1"/>
  <c r="D810" i="1"/>
  <c r="C810" i="1"/>
  <c r="E809" i="1"/>
  <c r="D809" i="1"/>
  <c r="F809" i="1" s="1"/>
  <c r="C809" i="1"/>
  <c r="E808" i="1"/>
  <c r="D808" i="1"/>
  <c r="F808" i="1" s="1"/>
  <c r="C808" i="1"/>
  <c r="F807" i="1"/>
  <c r="E807" i="1"/>
  <c r="D807" i="1"/>
  <c r="C807" i="1"/>
  <c r="E806" i="1"/>
  <c r="D806" i="1"/>
  <c r="F806" i="1" s="1"/>
  <c r="C806" i="1"/>
  <c r="E805" i="1"/>
  <c r="D805" i="1"/>
  <c r="F805" i="1" s="1"/>
  <c r="C805" i="1"/>
  <c r="F804" i="1"/>
  <c r="E804" i="1"/>
  <c r="D804" i="1"/>
  <c r="C804" i="1"/>
  <c r="E803" i="1"/>
  <c r="D803" i="1"/>
  <c r="F803" i="1" s="1"/>
  <c r="C803" i="1"/>
  <c r="E802" i="1"/>
  <c r="D802" i="1"/>
  <c r="F802" i="1" s="1"/>
  <c r="C802" i="1"/>
  <c r="F801" i="1"/>
  <c r="E801" i="1"/>
  <c r="D801" i="1"/>
  <c r="C801" i="1"/>
  <c r="F800" i="1"/>
  <c r="E800" i="1"/>
  <c r="D800" i="1"/>
  <c r="C800" i="1"/>
  <c r="E799" i="1"/>
  <c r="D799" i="1"/>
  <c r="F799" i="1" s="1"/>
  <c r="C799" i="1"/>
  <c r="F798" i="1"/>
  <c r="E798" i="1"/>
  <c r="D798" i="1"/>
  <c r="C798" i="1"/>
  <c r="F797" i="1"/>
  <c r="E797" i="1"/>
  <c r="D797" i="1"/>
  <c r="C797" i="1"/>
  <c r="E796" i="1"/>
  <c r="D796" i="1"/>
  <c r="F796" i="1" s="1"/>
  <c r="C796" i="1"/>
  <c r="F795" i="1"/>
  <c r="E795" i="1"/>
  <c r="D795" i="1"/>
  <c r="C795" i="1"/>
  <c r="E794" i="1"/>
  <c r="D794" i="1"/>
  <c r="F794" i="1" s="1"/>
  <c r="C794" i="1"/>
  <c r="E793" i="1"/>
  <c r="D793" i="1"/>
  <c r="F793" i="1" s="1"/>
  <c r="C793" i="1"/>
  <c r="F792" i="1"/>
  <c r="E792" i="1"/>
  <c r="D792" i="1"/>
  <c r="C792" i="1"/>
  <c r="E791" i="1"/>
  <c r="D791" i="1"/>
  <c r="F791" i="1" s="1"/>
  <c r="C791" i="1"/>
  <c r="E790" i="1"/>
  <c r="D790" i="1"/>
  <c r="F790" i="1" s="1"/>
  <c r="C790" i="1"/>
  <c r="F789" i="1"/>
  <c r="E789" i="1"/>
  <c r="D789" i="1"/>
  <c r="C789" i="1"/>
  <c r="F788" i="1"/>
  <c r="E788" i="1"/>
  <c r="D788" i="1"/>
  <c r="C788" i="1"/>
  <c r="E787" i="1"/>
  <c r="D787" i="1"/>
  <c r="F787" i="1" s="1"/>
  <c r="C787" i="1"/>
  <c r="F786" i="1"/>
  <c r="E786" i="1"/>
  <c r="D786" i="1"/>
  <c r="C786" i="1"/>
  <c r="E785" i="1"/>
  <c r="D785" i="1"/>
  <c r="F785" i="1" s="1"/>
  <c r="C785" i="1"/>
  <c r="E784" i="1"/>
  <c r="D784" i="1"/>
  <c r="F784" i="1" s="1"/>
  <c r="C784" i="1"/>
  <c r="F783" i="1"/>
  <c r="E783" i="1"/>
  <c r="D783" i="1"/>
  <c r="C783" i="1"/>
  <c r="F782" i="1"/>
  <c r="E782" i="1"/>
  <c r="D782" i="1"/>
  <c r="C782" i="1"/>
  <c r="E781" i="1"/>
  <c r="D781" i="1"/>
  <c r="F781" i="1" s="1"/>
  <c r="C781" i="1"/>
  <c r="F780" i="1"/>
  <c r="E780" i="1"/>
  <c r="D780" i="1"/>
  <c r="C780" i="1"/>
  <c r="F779" i="1"/>
  <c r="E779" i="1"/>
  <c r="D779" i="1"/>
  <c r="C779" i="1"/>
  <c r="E778" i="1"/>
  <c r="D778" i="1"/>
  <c r="F778" i="1" s="1"/>
  <c r="C778" i="1"/>
  <c r="F777" i="1"/>
  <c r="E777" i="1"/>
  <c r="D777" i="1"/>
  <c r="C777" i="1"/>
  <c r="E776" i="1"/>
  <c r="D776" i="1"/>
  <c r="F776" i="1" s="1"/>
  <c r="C776" i="1"/>
  <c r="E775" i="1"/>
  <c r="D775" i="1"/>
  <c r="F775" i="1" s="1"/>
  <c r="C775" i="1"/>
  <c r="F774" i="1"/>
  <c r="E774" i="1"/>
  <c r="D774" i="1"/>
  <c r="C774" i="1"/>
  <c r="E773" i="1"/>
  <c r="D773" i="1"/>
  <c r="F773" i="1" s="1"/>
  <c r="C773" i="1"/>
  <c r="E772" i="1"/>
  <c r="D772" i="1"/>
  <c r="F772" i="1" s="1"/>
  <c r="C772" i="1"/>
  <c r="F771" i="1"/>
  <c r="E771" i="1"/>
  <c r="D771" i="1"/>
  <c r="C771" i="1"/>
  <c r="E770" i="1"/>
  <c r="D770" i="1"/>
  <c r="F770" i="1" s="1"/>
  <c r="C770" i="1"/>
  <c r="E769" i="1"/>
  <c r="D769" i="1"/>
  <c r="F769" i="1" s="1"/>
  <c r="C769" i="1"/>
  <c r="F768" i="1"/>
  <c r="E768" i="1"/>
  <c r="D768" i="1"/>
  <c r="C768" i="1"/>
  <c r="E767" i="1"/>
  <c r="D767" i="1"/>
  <c r="F767" i="1" s="1"/>
  <c r="C767" i="1"/>
  <c r="E766" i="1"/>
  <c r="D766" i="1"/>
  <c r="F766" i="1" s="1"/>
  <c r="C766" i="1"/>
  <c r="F765" i="1"/>
  <c r="E765" i="1"/>
  <c r="D765" i="1"/>
  <c r="C765" i="1"/>
  <c r="F764" i="1"/>
  <c r="E764" i="1"/>
  <c r="D764" i="1"/>
  <c r="C764" i="1"/>
  <c r="E763" i="1"/>
  <c r="D763" i="1"/>
  <c r="F763" i="1" s="1"/>
  <c r="C763" i="1"/>
  <c r="F762" i="1"/>
  <c r="E762" i="1"/>
  <c r="D762" i="1"/>
  <c r="C762" i="1"/>
  <c r="F761" i="1"/>
  <c r="E761" i="1"/>
  <c r="D761" i="1"/>
  <c r="C761" i="1"/>
  <c r="E760" i="1"/>
  <c r="D760" i="1"/>
  <c r="F760" i="1" s="1"/>
  <c r="C760" i="1"/>
  <c r="F759" i="1"/>
  <c r="E759" i="1"/>
  <c r="D759" i="1"/>
  <c r="C759" i="1"/>
  <c r="E758" i="1"/>
  <c r="D758" i="1"/>
  <c r="F758" i="1" s="1"/>
  <c r="C758" i="1"/>
  <c r="E757" i="1"/>
  <c r="D757" i="1"/>
  <c r="F757" i="1" s="1"/>
  <c r="C757" i="1"/>
  <c r="F756" i="1"/>
  <c r="E756" i="1"/>
  <c r="D756" i="1"/>
  <c r="C756" i="1"/>
  <c r="E755" i="1"/>
  <c r="D755" i="1"/>
  <c r="F755" i="1" s="1"/>
  <c r="C755" i="1"/>
  <c r="E754" i="1"/>
  <c r="D754" i="1"/>
  <c r="F754" i="1" s="1"/>
  <c r="C754" i="1"/>
  <c r="F753" i="1"/>
  <c r="E753" i="1"/>
  <c r="D753" i="1"/>
  <c r="C753" i="1"/>
  <c r="F752" i="1"/>
  <c r="E752" i="1"/>
  <c r="D752" i="1"/>
  <c r="C752" i="1"/>
  <c r="E751" i="1"/>
  <c r="D751" i="1"/>
  <c r="F751" i="1" s="1"/>
  <c r="C751" i="1"/>
  <c r="F750" i="1"/>
  <c r="E750" i="1"/>
  <c r="D750" i="1"/>
  <c r="C750" i="1"/>
  <c r="E749" i="1"/>
  <c r="D749" i="1"/>
  <c r="F749" i="1" s="1"/>
  <c r="C749" i="1"/>
  <c r="E748" i="1"/>
  <c r="D748" i="1"/>
  <c r="F748" i="1" s="1"/>
  <c r="C748" i="1"/>
  <c r="F747" i="1"/>
  <c r="E747" i="1"/>
  <c r="D747" i="1"/>
  <c r="C747" i="1"/>
  <c r="F746" i="1"/>
  <c r="E746" i="1"/>
  <c r="D746" i="1"/>
  <c r="C746" i="1"/>
  <c r="E745" i="1"/>
  <c r="D745" i="1"/>
  <c r="F745" i="1" s="1"/>
  <c r="C745" i="1"/>
  <c r="F744" i="1"/>
  <c r="E744" i="1"/>
  <c r="D744" i="1"/>
  <c r="C744" i="1"/>
  <c r="F743" i="1"/>
  <c r="E743" i="1"/>
  <c r="D743" i="1"/>
  <c r="C743" i="1"/>
  <c r="E742" i="1"/>
  <c r="D742" i="1"/>
  <c r="F742" i="1" s="1"/>
  <c r="C742" i="1"/>
  <c r="F741" i="1"/>
  <c r="E741" i="1"/>
  <c r="D741" i="1"/>
  <c r="C741" i="1"/>
  <c r="E740" i="1"/>
  <c r="D740" i="1"/>
  <c r="F740" i="1" s="1"/>
  <c r="C740" i="1"/>
  <c r="E739" i="1"/>
  <c r="D739" i="1"/>
  <c r="F739" i="1" s="1"/>
  <c r="C739" i="1"/>
  <c r="F738" i="1"/>
  <c r="E738" i="1"/>
  <c r="D738" i="1"/>
  <c r="C738" i="1"/>
  <c r="E737" i="1"/>
  <c r="D737" i="1"/>
  <c r="F737" i="1" s="1"/>
  <c r="C737" i="1"/>
  <c r="E736" i="1"/>
  <c r="D736" i="1"/>
  <c r="F736" i="1" s="1"/>
  <c r="C736" i="1"/>
  <c r="F735" i="1"/>
  <c r="E735" i="1"/>
  <c r="D735" i="1"/>
  <c r="C735" i="1"/>
  <c r="E734" i="1"/>
  <c r="D734" i="1"/>
  <c r="F734" i="1" s="1"/>
  <c r="C734" i="1"/>
  <c r="E733" i="1"/>
  <c r="D733" i="1"/>
  <c r="F733" i="1" s="1"/>
  <c r="C733" i="1"/>
  <c r="F732" i="1"/>
  <c r="E732" i="1"/>
  <c r="D732" i="1"/>
  <c r="C732" i="1"/>
  <c r="E731" i="1"/>
  <c r="D731" i="1"/>
  <c r="F731" i="1" s="1"/>
  <c r="C731" i="1"/>
  <c r="E730" i="1"/>
  <c r="D730" i="1"/>
  <c r="F730" i="1" s="1"/>
  <c r="C730" i="1"/>
  <c r="F729" i="1"/>
  <c r="E729" i="1"/>
  <c r="D729" i="1"/>
  <c r="C729" i="1"/>
  <c r="F728" i="1"/>
  <c r="E728" i="1"/>
  <c r="D728" i="1"/>
  <c r="C728" i="1"/>
  <c r="E727" i="1"/>
  <c r="D727" i="1"/>
  <c r="F727" i="1" s="1"/>
  <c r="C727" i="1"/>
  <c r="F726" i="1"/>
  <c r="E726" i="1"/>
  <c r="D726" i="1"/>
  <c r="C726" i="1"/>
  <c r="F725" i="1"/>
  <c r="E725" i="1"/>
  <c r="D725" i="1"/>
  <c r="C725" i="1"/>
  <c r="E724" i="1"/>
  <c r="D724" i="1"/>
  <c r="F724" i="1" s="1"/>
  <c r="C724" i="1"/>
  <c r="F723" i="1"/>
  <c r="E723" i="1"/>
  <c r="D723" i="1"/>
  <c r="C723" i="1"/>
  <c r="E722" i="1"/>
  <c r="D722" i="1"/>
  <c r="F722" i="1" s="1"/>
  <c r="C722" i="1"/>
  <c r="E721" i="1"/>
  <c r="D721" i="1"/>
  <c r="F721" i="1" s="1"/>
  <c r="C721" i="1"/>
  <c r="F720" i="1"/>
  <c r="E720" i="1"/>
  <c r="D720" i="1"/>
  <c r="C720" i="1"/>
  <c r="E719" i="1"/>
  <c r="D719" i="1"/>
  <c r="F719" i="1" s="1"/>
  <c r="C719" i="1"/>
  <c r="E718" i="1"/>
  <c r="D718" i="1"/>
  <c r="F718" i="1" s="1"/>
  <c r="C718" i="1"/>
  <c r="F717" i="1"/>
  <c r="E717" i="1"/>
  <c r="D717" i="1"/>
  <c r="C717" i="1"/>
  <c r="F716" i="1"/>
  <c r="E716" i="1"/>
  <c r="D716" i="1"/>
  <c r="C716" i="1"/>
  <c r="E715" i="1"/>
  <c r="D715" i="1"/>
  <c r="F715" i="1" s="1"/>
  <c r="C715" i="1"/>
  <c r="F714" i="1"/>
  <c r="E714" i="1"/>
  <c r="D714" i="1"/>
  <c r="C714" i="1"/>
  <c r="E713" i="1"/>
  <c r="D713" i="1"/>
  <c r="F713" i="1" s="1"/>
  <c r="C713" i="1"/>
  <c r="E712" i="1"/>
  <c r="D712" i="1"/>
  <c r="F712" i="1" s="1"/>
  <c r="C712" i="1"/>
  <c r="E711" i="1"/>
  <c r="D711" i="1"/>
  <c r="F711" i="1" s="1"/>
  <c r="C711" i="1"/>
  <c r="F710" i="1"/>
  <c r="E710" i="1"/>
  <c r="D710" i="1"/>
  <c r="C710" i="1"/>
  <c r="E709" i="1"/>
  <c r="D709" i="1"/>
  <c r="F709" i="1" s="1"/>
  <c r="C709" i="1"/>
  <c r="E708" i="1"/>
  <c r="D708" i="1"/>
  <c r="F708" i="1" s="1"/>
  <c r="C708" i="1"/>
  <c r="F707" i="1"/>
  <c r="E707" i="1"/>
  <c r="D707" i="1"/>
  <c r="C707" i="1"/>
  <c r="E706" i="1"/>
  <c r="D706" i="1"/>
  <c r="F706" i="1" s="1"/>
  <c r="C706" i="1"/>
  <c r="F705" i="1"/>
  <c r="E705" i="1"/>
  <c r="D705" i="1"/>
  <c r="C705" i="1"/>
  <c r="E704" i="1"/>
  <c r="D704" i="1"/>
  <c r="F704" i="1" s="1"/>
  <c r="C704" i="1"/>
  <c r="E703" i="1"/>
  <c r="D703" i="1"/>
  <c r="F703" i="1" s="1"/>
  <c r="C703" i="1"/>
  <c r="F702" i="1"/>
  <c r="E702" i="1"/>
  <c r="D702" i="1"/>
  <c r="C702" i="1"/>
  <c r="E701" i="1"/>
  <c r="D701" i="1"/>
  <c r="F701" i="1" s="1"/>
  <c r="C701" i="1"/>
  <c r="E700" i="1"/>
  <c r="D700" i="1"/>
  <c r="F700" i="1" s="1"/>
  <c r="C700" i="1"/>
  <c r="E699" i="1"/>
  <c r="D699" i="1"/>
  <c r="F699" i="1" s="1"/>
  <c r="C699" i="1"/>
  <c r="E698" i="1"/>
  <c r="D698" i="1"/>
  <c r="F698" i="1" s="1"/>
  <c r="C698" i="1"/>
  <c r="E697" i="1"/>
  <c r="D697" i="1"/>
  <c r="F697" i="1" s="1"/>
  <c r="C697" i="1"/>
  <c r="E696" i="1"/>
  <c r="D696" i="1"/>
  <c r="F696" i="1" s="1"/>
  <c r="C696" i="1"/>
  <c r="E695" i="1"/>
  <c r="D695" i="1"/>
  <c r="F695" i="1" s="1"/>
  <c r="C695" i="1"/>
  <c r="E694" i="1"/>
  <c r="D694" i="1"/>
  <c r="F694" i="1" s="1"/>
  <c r="C694" i="1"/>
  <c r="F693" i="1"/>
  <c r="E693" i="1"/>
  <c r="D693" i="1"/>
  <c r="C693" i="1"/>
  <c r="F692" i="1"/>
  <c r="E692" i="1"/>
  <c r="D692" i="1"/>
  <c r="C692" i="1"/>
  <c r="E691" i="1"/>
  <c r="D691" i="1"/>
  <c r="F691" i="1" s="1"/>
  <c r="C691" i="1"/>
  <c r="E690" i="1"/>
  <c r="D690" i="1"/>
  <c r="F690" i="1" s="1"/>
  <c r="C690" i="1"/>
  <c r="F689" i="1"/>
  <c r="E689" i="1"/>
  <c r="D689" i="1"/>
  <c r="C689" i="1"/>
  <c r="E688" i="1"/>
  <c r="D688" i="1"/>
  <c r="F688" i="1" s="1"/>
  <c r="C688" i="1"/>
  <c r="F687" i="1"/>
  <c r="E687" i="1"/>
  <c r="D687" i="1"/>
  <c r="C687" i="1"/>
  <c r="E686" i="1"/>
  <c r="D686" i="1"/>
  <c r="F686" i="1" s="1"/>
  <c r="C686" i="1"/>
  <c r="E685" i="1"/>
  <c r="D685" i="1"/>
  <c r="F685" i="1" s="1"/>
  <c r="C685" i="1"/>
  <c r="F684" i="1"/>
  <c r="E684" i="1"/>
  <c r="D684" i="1"/>
  <c r="C684" i="1"/>
  <c r="E683" i="1"/>
  <c r="D683" i="1"/>
  <c r="F683" i="1" s="1"/>
  <c r="C683" i="1"/>
  <c r="E682" i="1"/>
  <c r="D682" i="1"/>
  <c r="F682" i="1" s="1"/>
  <c r="C682" i="1"/>
  <c r="E681" i="1"/>
  <c r="D681" i="1"/>
  <c r="F681" i="1" s="1"/>
  <c r="C681" i="1"/>
  <c r="F680" i="1"/>
  <c r="E680" i="1"/>
  <c r="D680" i="1"/>
  <c r="C680" i="1"/>
  <c r="E679" i="1"/>
  <c r="D679" i="1"/>
  <c r="F679" i="1" s="1"/>
  <c r="C679" i="1"/>
  <c r="E678" i="1"/>
  <c r="D678" i="1"/>
  <c r="F678" i="1" s="1"/>
  <c r="C678" i="1"/>
  <c r="E677" i="1"/>
  <c r="D677" i="1"/>
  <c r="F677" i="1" s="1"/>
  <c r="C677" i="1"/>
  <c r="E676" i="1"/>
  <c r="D676" i="1"/>
  <c r="F676" i="1" s="1"/>
  <c r="C676" i="1"/>
  <c r="E675" i="1"/>
  <c r="D675" i="1"/>
  <c r="F675" i="1" s="1"/>
  <c r="C675" i="1"/>
  <c r="F674" i="1"/>
  <c r="E674" i="1"/>
  <c r="D674" i="1"/>
  <c r="C674" i="1"/>
  <c r="E673" i="1"/>
  <c r="D673" i="1"/>
  <c r="F673" i="1" s="1"/>
  <c r="C673" i="1"/>
  <c r="E672" i="1"/>
  <c r="D672" i="1"/>
  <c r="F672" i="1" s="1"/>
  <c r="C672" i="1"/>
  <c r="F671" i="1"/>
  <c r="E671" i="1"/>
  <c r="D671" i="1"/>
  <c r="C671" i="1"/>
  <c r="E670" i="1"/>
  <c r="D670" i="1"/>
  <c r="F670" i="1" s="1"/>
  <c r="C670" i="1"/>
  <c r="F669" i="1"/>
  <c r="E669" i="1"/>
  <c r="D669" i="1"/>
  <c r="C669" i="1"/>
  <c r="E668" i="1"/>
  <c r="D668" i="1"/>
  <c r="F668" i="1" s="1"/>
  <c r="C668" i="1"/>
  <c r="E667" i="1"/>
  <c r="D667" i="1"/>
  <c r="F667" i="1" s="1"/>
  <c r="C667" i="1"/>
  <c r="F666" i="1"/>
  <c r="E666" i="1"/>
  <c r="D666" i="1"/>
  <c r="C666" i="1"/>
  <c r="E665" i="1"/>
  <c r="D665" i="1"/>
  <c r="F665" i="1" s="1"/>
  <c r="C665" i="1"/>
  <c r="E664" i="1"/>
  <c r="D664" i="1"/>
  <c r="F664" i="1" s="1"/>
  <c r="C664" i="1"/>
  <c r="E663" i="1"/>
  <c r="D663" i="1"/>
  <c r="F663" i="1" s="1"/>
  <c r="C663" i="1"/>
  <c r="E662" i="1"/>
  <c r="D662" i="1"/>
  <c r="F662" i="1" s="1"/>
  <c r="C662" i="1"/>
  <c r="E661" i="1"/>
  <c r="D661" i="1"/>
  <c r="F661" i="1" s="1"/>
  <c r="C661" i="1"/>
  <c r="E660" i="1"/>
  <c r="D660" i="1"/>
  <c r="F660" i="1" s="1"/>
  <c r="C660" i="1"/>
  <c r="E659" i="1"/>
  <c r="D659" i="1"/>
  <c r="F659" i="1" s="1"/>
  <c r="C659" i="1"/>
  <c r="E658" i="1"/>
  <c r="D658" i="1"/>
  <c r="F658" i="1" s="1"/>
  <c r="C658" i="1"/>
  <c r="F657" i="1"/>
  <c r="E657" i="1"/>
  <c r="D657" i="1"/>
  <c r="C657" i="1"/>
  <c r="F656" i="1"/>
  <c r="E656" i="1"/>
  <c r="D656" i="1"/>
  <c r="C656" i="1"/>
  <c r="E655" i="1"/>
  <c r="D655" i="1"/>
  <c r="F655" i="1" s="1"/>
  <c r="C655" i="1"/>
  <c r="E654" i="1"/>
  <c r="D654" i="1"/>
  <c r="F654" i="1" s="1"/>
  <c r="C654" i="1"/>
  <c r="F653" i="1"/>
  <c r="E653" i="1"/>
  <c r="D653" i="1"/>
  <c r="C653" i="1"/>
  <c r="E652" i="1"/>
  <c r="D652" i="1"/>
  <c r="F652" i="1" s="1"/>
  <c r="C652" i="1"/>
  <c r="F651" i="1"/>
  <c r="E651" i="1"/>
  <c r="D651" i="1"/>
  <c r="C651" i="1"/>
  <c r="E650" i="1"/>
  <c r="D650" i="1"/>
  <c r="F650" i="1" s="1"/>
  <c r="C650" i="1"/>
  <c r="E649" i="1"/>
  <c r="D649" i="1"/>
  <c r="F649" i="1" s="1"/>
  <c r="C649" i="1"/>
  <c r="F648" i="1"/>
  <c r="E648" i="1"/>
  <c r="D648" i="1"/>
  <c r="C648" i="1"/>
  <c r="E647" i="1"/>
  <c r="D647" i="1"/>
  <c r="F647" i="1" s="1"/>
  <c r="C647" i="1"/>
  <c r="E646" i="1"/>
  <c r="D646" i="1"/>
  <c r="F646" i="1" s="1"/>
  <c r="C646" i="1"/>
  <c r="E645" i="1"/>
  <c r="D645" i="1"/>
  <c r="F645" i="1" s="1"/>
  <c r="C645" i="1"/>
  <c r="F644" i="1"/>
  <c r="E644" i="1"/>
  <c r="D644" i="1"/>
  <c r="C644" i="1"/>
  <c r="E643" i="1"/>
  <c r="D643" i="1"/>
  <c r="F643" i="1" s="1"/>
  <c r="C643" i="1"/>
  <c r="E642" i="1"/>
  <c r="D642" i="1"/>
  <c r="F642" i="1" s="1"/>
  <c r="C642" i="1"/>
  <c r="E641" i="1"/>
  <c r="D641" i="1"/>
  <c r="F641" i="1" s="1"/>
  <c r="C641" i="1"/>
  <c r="E640" i="1"/>
  <c r="D640" i="1"/>
  <c r="F640" i="1" s="1"/>
  <c r="C640" i="1"/>
  <c r="E639" i="1"/>
  <c r="D639" i="1"/>
  <c r="F639" i="1" s="1"/>
  <c r="C639" i="1"/>
  <c r="F638" i="1"/>
  <c r="E638" i="1"/>
  <c r="D638" i="1"/>
  <c r="C638" i="1"/>
  <c r="E637" i="1"/>
  <c r="D637" i="1"/>
  <c r="F637" i="1" s="1"/>
  <c r="C637" i="1"/>
  <c r="E636" i="1"/>
  <c r="D636" i="1"/>
  <c r="F636" i="1" s="1"/>
  <c r="C636" i="1"/>
  <c r="F635" i="1"/>
  <c r="E635" i="1"/>
  <c r="D635" i="1"/>
  <c r="C635" i="1"/>
  <c r="E634" i="1"/>
  <c r="D634" i="1"/>
  <c r="F634" i="1" s="1"/>
  <c r="C634" i="1"/>
  <c r="F633" i="1"/>
  <c r="E633" i="1"/>
  <c r="D633" i="1"/>
  <c r="C633" i="1"/>
  <c r="E632" i="1"/>
  <c r="D632" i="1"/>
  <c r="F632" i="1" s="1"/>
  <c r="C632" i="1"/>
  <c r="E631" i="1"/>
  <c r="D631" i="1"/>
  <c r="F631" i="1" s="1"/>
  <c r="C631" i="1"/>
  <c r="F630" i="1"/>
  <c r="E630" i="1"/>
  <c r="D630" i="1"/>
  <c r="C630" i="1"/>
  <c r="E629" i="1"/>
  <c r="D629" i="1"/>
  <c r="F629" i="1" s="1"/>
  <c r="C629" i="1"/>
  <c r="E628" i="1"/>
  <c r="D628" i="1"/>
  <c r="F628" i="1" s="1"/>
  <c r="C628" i="1"/>
  <c r="E627" i="1"/>
  <c r="D627" i="1"/>
  <c r="F627" i="1" s="1"/>
  <c r="C627" i="1"/>
  <c r="E626" i="1"/>
  <c r="D626" i="1"/>
  <c r="F626" i="1" s="1"/>
  <c r="C626" i="1"/>
  <c r="E625" i="1"/>
  <c r="D625" i="1"/>
  <c r="F625" i="1" s="1"/>
  <c r="C625" i="1"/>
  <c r="E624" i="1"/>
  <c r="D624" i="1"/>
  <c r="F624" i="1" s="1"/>
  <c r="C624" i="1"/>
  <c r="E623" i="1"/>
  <c r="D623" i="1"/>
  <c r="F623" i="1" s="1"/>
  <c r="C623" i="1"/>
  <c r="E622" i="1"/>
  <c r="D622" i="1"/>
  <c r="F622" i="1" s="1"/>
  <c r="C622" i="1"/>
  <c r="F621" i="1"/>
  <c r="E621" i="1"/>
  <c r="D621" i="1"/>
  <c r="C621" i="1"/>
  <c r="F620" i="1"/>
  <c r="E620" i="1"/>
  <c r="D620" i="1"/>
  <c r="C620" i="1"/>
  <c r="E619" i="1"/>
  <c r="D619" i="1"/>
  <c r="F619" i="1" s="1"/>
  <c r="C619" i="1"/>
  <c r="E618" i="1"/>
  <c r="D618" i="1"/>
  <c r="F618" i="1" s="1"/>
  <c r="C618" i="1"/>
  <c r="F617" i="1"/>
  <c r="E617" i="1"/>
  <c r="D617" i="1"/>
  <c r="C617" i="1"/>
  <c r="E616" i="1"/>
  <c r="D616" i="1"/>
  <c r="F616" i="1" s="1"/>
  <c r="C616" i="1"/>
  <c r="F615" i="1"/>
  <c r="E615" i="1"/>
  <c r="D615" i="1"/>
  <c r="C615" i="1"/>
  <c r="E614" i="1"/>
  <c r="D614" i="1"/>
  <c r="F614" i="1" s="1"/>
  <c r="C614" i="1"/>
  <c r="E613" i="1"/>
  <c r="D613" i="1"/>
  <c r="F613" i="1" s="1"/>
  <c r="C613" i="1"/>
  <c r="F612" i="1"/>
  <c r="E612" i="1"/>
  <c r="D612" i="1"/>
  <c r="C612" i="1"/>
  <c r="E611" i="1"/>
  <c r="D611" i="1"/>
  <c r="F611" i="1" s="1"/>
  <c r="C611" i="1"/>
  <c r="E610" i="1"/>
  <c r="D610" i="1"/>
  <c r="F610" i="1" s="1"/>
  <c r="C610" i="1"/>
  <c r="E609" i="1"/>
  <c r="D609" i="1"/>
  <c r="F609" i="1" s="1"/>
  <c r="C609" i="1"/>
  <c r="F608" i="1"/>
  <c r="E608" i="1"/>
  <c r="D608" i="1"/>
  <c r="C608" i="1"/>
  <c r="F607" i="1"/>
  <c r="E607" i="1"/>
  <c r="D607" i="1"/>
  <c r="C607" i="1"/>
  <c r="E606" i="1"/>
  <c r="D606" i="1"/>
  <c r="F606" i="1" s="1"/>
  <c r="C606" i="1"/>
  <c r="F605" i="1"/>
  <c r="E605" i="1"/>
  <c r="D605" i="1"/>
  <c r="C605" i="1"/>
  <c r="F604" i="1"/>
  <c r="E604" i="1"/>
  <c r="D604" i="1"/>
  <c r="C604" i="1"/>
  <c r="E603" i="1"/>
  <c r="D603" i="1"/>
  <c r="F603" i="1" s="1"/>
  <c r="C603" i="1"/>
  <c r="F602" i="1"/>
  <c r="E602" i="1"/>
  <c r="D602" i="1"/>
  <c r="C602" i="1"/>
  <c r="F601" i="1"/>
  <c r="E601" i="1"/>
  <c r="D601" i="1"/>
  <c r="C601" i="1"/>
  <c r="E600" i="1"/>
  <c r="D600" i="1"/>
  <c r="F600" i="1" s="1"/>
  <c r="C600" i="1"/>
  <c r="F599" i="1"/>
  <c r="E599" i="1"/>
  <c r="D599" i="1"/>
  <c r="C599" i="1"/>
  <c r="F598" i="1"/>
  <c r="E598" i="1"/>
  <c r="D598" i="1"/>
  <c r="C598" i="1"/>
  <c r="E597" i="1"/>
  <c r="D597" i="1"/>
  <c r="F597" i="1" s="1"/>
  <c r="C597" i="1"/>
  <c r="F596" i="1"/>
  <c r="E596" i="1"/>
  <c r="D596" i="1"/>
  <c r="C596" i="1"/>
  <c r="F595" i="1"/>
  <c r="E595" i="1"/>
  <c r="D595" i="1"/>
  <c r="C595" i="1"/>
  <c r="E594" i="1"/>
  <c r="D594" i="1"/>
  <c r="F594" i="1" s="1"/>
  <c r="C594" i="1"/>
  <c r="F593" i="1"/>
  <c r="E593" i="1"/>
  <c r="D593" i="1"/>
  <c r="C593" i="1"/>
  <c r="F592" i="1"/>
  <c r="E592" i="1"/>
  <c r="D592" i="1"/>
  <c r="C592" i="1"/>
  <c r="E591" i="1"/>
  <c r="D591" i="1"/>
  <c r="F591" i="1" s="1"/>
  <c r="C591" i="1"/>
  <c r="F590" i="1"/>
  <c r="E590" i="1"/>
  <c r="D590" i="1"/>
  <c r="C590" i="1"/>
  <c r="F589" i="1"/>
  <c r="E589" i="1"/>
  <c r="D589" i="1"/>
  <c r="C589" i="1"/>
  <c r="E588" i="1"/>
  <c r="D588" i="1"/>
  <c r="F588" i="1" s="1"/>
  <c r="C588" i="1"/>
  <c r="F587" i="1"/>
  <c r="E587" i="1"/>
  <c r="D587" i="1"/>
  <c r="C587" i="1"/>
  <c r="F586" i="1"/>
  <c r="E586" i="1"/>
  <c r="D586" i="1"/>
  <c r="C586" i="1"/>
  <c r="E585" i="1"/>
  <c r="D585" i="1"/>
  <c r="F585" i="1" s="1"/>
  <c r="C585" i="1"/>
  <c r="F584" i="1"/>
  <c r="E584" i="1"/>
  <c r="D584" i="1"/>
  <c r="C584" i="1"/>
  <c r="F583" i="1"/>
  <c r="E583" i="1"/>
  <c r="D583" i="1"/>
  <c r="C583" i="1"/>
  <c r="E582" i="1"/>
  <c r="D582" i="1"/>
  <c r="F582" i="1" s="1"/>
  <c r="C582" i="1"/>
  <c r="F581" i="1"/>
  <c r="E581" i="1"/>
  <c r="D581" i="1"/>
  <c r="C581" i="1"/>
  <c r="F580" i="1"/>
  <c r="E580" i="1"/>
  <c r="D580" i="1"/>
  <c r="C580" i="1"/>
  <c r="E579" i="1"/>
  <c r="D579" i="1"/>
  <c r="F579" i="1" s="1"/>
  <c r="C579" i="1"/>
  <c r="F578" i="1"/>
  <c r="E578" i="1"/>
  <c r="D578" i="1"/>
  <c r="C578" i="1"/>
  <c r="F577" i="1"/>
  <c r="E577" i="1"/>
  <c r="D577" i="1"/>
  <c r="C577" i="1"/>
  <c r="E576" i="1"/>
  <c r="D576" i="1"/>
  <c r="F576" i="1" s="1"/>
  <c r="C576" i="1"/>
  <c r="F575" i="1"/>
  <c r="E575" i="1"/>
  <c r="D575" i="1"/>
  <c r="C575" i="1"/>
  <c r="F574" i="1"/>
  <c r="E574" i="1"/>
  <c r="D574" i="1"/>
  <c r="C574" i="1"/>
  <c r="E573" i="1"/>
  <c r="D573" i="1"/>
  <c r="F573" i="1" s="1"/>
  <c r="C573" i="1"/>
  <c r="F572" i="1"/>
  <c r="E572" i="1"/>
  <c r="D572" i="1"/>
  <c r="C572" i="1"/>
  <c r="F571" i="1"/>
  <c r="E571" i="1"/>
  <c r="D571" i="1"/>
  <c r="C571" i="1"/>
  <c r="E570" i="1"/>
  <c r="D570" i="1"/>
  <c r="F570" i="1" s="1"/>
  <c r="C570" i="1"/>
  <c r="F569" i="1"/>
  <c r="E569" i="1"/>
  <c r="D569" i="1"/>
  <c r="C569" i="1"/>
  <c r="F568" i="1"/>
  <c r="E568" i="1"/>
  <c r="D568" i="1"/>
  <c r="C568" i="1"/>
  <c r="E567" i="1"/>
  <c r="D567" i="1"/>
  <c r="F567" i="1" s="1"/>
  <c r="C567" i="1"/>
  <c r="F566" i="1"/>
  <c r="E566" i="1"/>
  <c r="D566" i="1"/>
  <c r="C566" i="1"/>
  <c r="F565" i="1"/>
  <c r="E565" i="1"/>
  <c r="D565" i="1"/>
  <c r="C565" i="1"/>
  <c r="E564" i="1"/>
  <c r="D564" i="1"/>
  <c r="F564" i="1" s="1"/>
  <c r="C564" i="1"/>
  <c r="F563" i="1"/>
  <c r="E563" i="1"/>
  <c r="D563" i="1"/>
  <c r="C563" i="1"/>
  <c r="F562" i="1"/>
  <c r="E562" i="1"/>
  <c r="D562" i="1"/>
  <c r="C562" i="1"/>
  <c r="E561" i="1"/>
  <c r="D561" i="1"/>
  <c r="F561" i="1" s="1"/>
  <c r="C561" i="1"/>
  <c r="F560" i="1"/>
  <c r="E560" i="1"/>
  <c r="D560" i="1"/>
  <c r="C560" i="1"/>
  <c r="F559" i="1"/>
  <c r="E559" i="1"/>
  <c r="D559" i="1"/>
  <c r="C559" i="1"/>
  <c r="E558" i="1"/>
  <c r="D558" i="1"/>
  <c r="F558" i="1" s="1"/>
  <c r="C558" i="1"/>
  <c r="F557" i="1"/>
  <c r="E557" i="1"/>
  <c r="D557" i="1"/>
  <c r="C557" i="1"/>
  <c r="F556" i="1"/>
  <c r="E556" i="1"/>
  <c r="D556" i="1"/>
  <c r="C556" i="1"/>
  <c r="E555" i="1"/>
  <c r="D555" i="1"/>
  <c r="F555" i="1" s="1"/>
  <c r="C555" i="1"/>
  <c r="F554" i="1"/>
  <c r="E554" i="1"/>
  <c r="D554" i="1"/>
  <c r="C554" i="1"/>
  <c r="F553" i="1"/>
  <c r="E553" i="1"/>
  <c r="D553" i="1"/>
  <c r="C553" i="1"/>
  <c r="E552" i="1"/>
  <c r="D552" i="1"/>
  <c r="F552" i="1" s="1"/>
  <c r="C552" i="1"/>
  <c r="F551" i="1"/>
  <c r="E551" i="1"/>
  <c r="D551" i="1"/>
  <c r="C551" i="1"/>
  <c r="F550" i="1"/>
  <c r="E550" i="1"/>
  <c r="D550" i="1"/>
  <c r="C550" i="1"/>
  <c r="E549" i="1"/>
  <c r="D549" i="1"/>
  <c r="F549" i="1" s="1"/>
  <c r="C549" i="1"/>
  <c r="F548" i="1"/>
  <c r="E548" i="1"/>
  <c r="D548" i="1"/>
  <c r="C548" i="1"/>
  <c r="F547" i="1"/>
  <c r="E547" i="1"/>
  <c r="D547" i="1"/>
  <c r="C547" i="1"/>
  <c r="E546" i="1"/>
  <c r="D546" i="1"/>
  <c r="F546" i="1" s="1"/>
  <c r="C546" i="1"/>
  <c r="F545" i="1"/>
  <c r="E545" i="1"/>
  <c r="D545" i="1"/>
  <c r="C545" i="1"/>
  <c r="F544" i="1"/>
  <c r="E544" i="1"/>
  <c r="D544" i="1"/>
  <c r="C544" i="1"/>
  <c r="E543" i="1"/>
  <c r="D543" i="1"/>
  <c r="F543" i="1" s="1"/>
  <c r="C543" i="1"/>
  <c r="F542" i="1"/>
  <c r="E542" i="1"/>
  <c r="D542" i="1"/>
  <c r="C542" i="1"/>
  <c r="F541" i="1"/>
  <c r="E541" i="1"/>
  <c r="D541" i="1"/>
  <c r="C541" i="1"/>
  <c r="E540" i="1"/>
  <c r="D540" i="1"/>
  <c r="F540" i="1" s="1"/>
  <c r="C540" i="1"/>
  <c r="F539" i="1"/>
  <c r="E539" i="1"/>
  <c r="D539" i="1"/>
  <c r="C539" i="1"/>
  <c r="F538" i="1"/>
  <c r="E538" i="1"/>
  <c r="D538" i="1"/>
  <c r="C538" i="1"/>
  <c r="E537" i="1"/>
  <c r="D537" i="1"/>
  <c r="F537" i="1" s="1"/>
  <c r="C537" i="1"/>
  <c r="F536" i="1"/>
  <c r="E536" i="1"/>
  <c r="D536" i="1"/>
  <c r="C536" i="1"/>
  <c r="F535" i="1"/>
  <c r="E535" i="1"/>
  <c r="D535" i="1"/>
  <c r="C535" i="1"/>
  <c r="E534" i="1"/>
  <c r="D534" i="1"/>
  <c r="F534" i="1" s="1"/>
  <c r="C534" i="1"/>
  <c r="F533" i="1"/>
  <c r="E533" i="1"/>
  <c r="D533" i="1"/>
  <c r="C533" i="1"/>
  <c r="F532" i="1"/>
  <c r="E532" i="1"/>
  <c r="D532" i="1"/>
  <c r="C532" i="1"/>
  <c r="E531" i="1"/>
  <c r="D531" i="1"/>
  <c r="F531" i="1" s="1"/>
  <c r="C531" i="1"/>
  <c r="F530" i="1"/>
  <c r="E530" i="1"/>
  <c r="D530" i="1"/>
  <c r="C530" i="1"/>
  <c r="F529" i="1"/>
  <c r="E529" i="1"/>
  <c r="D529" i="1"/>
  <c r="C529" i="1"/>
  <c r="E528" i="1"/>
  <c r="D528" i="1"/>
  <c r="F528" i="1" s="1"/>
  <c r="C528" i="1"/>
  <c r="F527" i="1"/>
  <c r="E527" i="1"/>
  <c r="D527" i="1"/>
  <c r="C527" i="1"/>
  <c r="F526" i="1"/>
  <c r="E526" i="1"/>
  <c r="D526" i="1"/>
  <c r="C526" i="1"/>
  <c r="E525" i="1"/>
  <c r="D525" i="1"/>
  <c r="F525" i="1" s="1"/>
  <c r="C525" i="1"/>
  <c r="F524" i="1"/>
  <c r="E524" i="1"/>
  <c r="D524" i="1"/>
  <c r="C524" i="1"/>
  <c r="F523" i="1"/>
  <c r="E523" i="1"/>
  <c r="D523" i="1"/>
  <c r="C523" i="1"/>
  <c r="E522" i="1"/>
  <c r="D522" i="1"/>
  <c r="F522" i="1" s="1"/>
  <c r="C522" i="1"/>
  <c r="F521" i="1"/>
  <c r="E521" i="1"/>
  <c r="D521" i="1"/>
  <c r="C521" i="1"/>
  <c r="F520" i="1"/>
  <c r="E520" i="1"/>
  <c r="D520" i="1"/>
  <c r="C520" i="1"/>
  <c r="E519" i="1"/>
  <c r="D519" i="1"/>
  <c r="F519" i="1" s="1"/>
  <c r="C519" i="1"/>
  <c r="F518" i="1"/>
  <c r="E518" i="1"/>
  <c r="D518" i="1"/>
  <c r="C518" i="1"/>
  <c r="F517" i="1"/>
  <c r="E517" i="1"/>
  <c r="D517" i="1"/>
  <c r="C517" i="1"/>
  <c r="E516" i="1"/>
  <c r="D516" i="1"/>
  <c r="F516" i="1" s="1"/>
  <c r="C516" i="1"/>
  <c r="F515" i="1"/>
  <c r="E515" i="1"/>
  <c r="D515" i="1"/>
  <c r="C515" i="1"/>
  <c r="F514" i="1"/>
  <c r="E514" i="1"/>
  <c r="D514" i="1"/>
  <c r="C514" i="1"/>
  <c r="E513" i="1"/>
  <c r="D513" i="1"/>
  <c r="F513" i="1" s="1"/>
  <c r="C513" i="1"/>
  <c r="F512" i="1"/>
  <c r="E512" i="1"/>
  <c r="D512" i="1"/>
  <c r="C512" i="1"/>
  <c r="F511" i="1"/>
  <c r="E511" i="1"/>
  <c r="D511" i="1"/>
  <c r="C511" i="1"/>
  <c r="E510" i="1"/>
  <c r="D510" i="1"/>
  <c r="F510" i="1" s="1"/>
  <c r="C510" i="1"/>
  <c r="F509" i="1"/>
  <c r="E509" i="1"/>
  <c r="D509" i="1"/>
  <c r="C509" i="1"/>
  <c r="F508" i="1"/>
  <c r="E508" i="1"/>
  <c r="D508" i="1"/>
  <c r="C508" i="1"/>
  <c r="E507" i="1"/>
  <c r="D507" i="1"/>
  <c r="F507" i="1" s="1"/>
  <c r="C507" i="1"/>
  <c r="F506" i="1"/>
  <c r="E506" i="1"/>
  <c r="D506" i="1"/>
  <c r="C506" i="1"/>
  <c r="F505" i="1"/>
  <c r="E505" i="1"/>
  <c r="D505" i="1"/>
  <c r="C505" i="1"/>
  <c r="E504" i="1"/>
  <c r="D504" i="1"/>
  <c r="F504" i="1" s="1"/>
  <c r="C504" i="1"/>
  <c r="F503" i="1"/>
  <c r="E503" i="1"/>
  <c r="D503" i="1"/>
  <c r="C503" i="1"/>
  <c r="F502" i="1"/>
  <c r="E502" i="1"/>
  <c r="D502" i="1"/>
  <c r="C502" i="1"/>
  <c r="E501" i="1"/>
  <c r="D501" i="1"/>
  <c r="F501" i="1" s="1"/>
  <c r="C501" i="1"/>
  <c r="F500" i="1"/>
  <c r="E500" i="1"/>
  <c r="D500" i="1"/>
  <c r="C500" i="1"/>
  <c r="F499" i="1"/>
  <c r="E499" i="1"/>
  <c r="D499" i="1"/>
  <c r="C499" i="1"/>
  <c r="E498" i="1"/>
  <c r="D498" i="1"/>
  <c r="F498" i="1" s="1"/>
  <c r="C498" i="1"/>
  <c r="F497" i="1"/>
  <c r="E497" i="1"/>
  <c r="D497" i="1"/>
  <c r="C497" i="1"/>
  <c r="F496" i="1"/>
  <c r="E496" i="1"/>
  <c r="D496" i="1"/>
  <c r="C496" i="1"/>
  <c r="E495" i="1"/>
  <c r="D495" i="1"/>
  <c r="F495" i="1" s="1"/>
  <c r="C495" i="1"/>
  <c r="F494" i="1"/>
  <c r="E494" i="1"/>
  <c r="D494" i="1"/>
  <c r="C494" i="1"/>
  <c r="F493" i="1"/>
  <c r="E493" i="1"/>
  <c r="D493" i="1"/>
  <c r="C493" i="1"/>
  <c r="E492" i="1"/>
  <c r="D492" i="1"/>
  <c r="F492" i="1" s="1"/>
  <c r="C492" i="1"/>
  <c r="F491" i="1"/>
  <c r="E491" i="1"/>
  <c r="D491" i="1"/>
  <c r="C491" i="1"/>
  <c r="F490" i="1"/>
  <c r="E490" i="1"/>
  <c r="D490" i="1"/>
  <c r="C490" i="1"/>
  <c r="E489" i="1"/>
  <c r="D489" i="1"/>
  <c r="F489" i="1" s="1"/>
  <c r="C489" i="1"/>
  <c r="F488" i="1"/>
  <c r="E488" i="1"/>
  <c r="D488" i="1"/>
  <c r="C488" i="1"/>
  <c r="F487" i="1"/>
  <c r="E487" i="1"/>
  <c r="D487" i="1"/>
  <c r="C487" i="1"/>
  <c r="E486" i="1"/>
  <c r="D486" i="1"/>
  <c r="F486" i="1" s="1"/>
  <c r="C486" i="1"/>
  <c r="F485" i="1"/>
  <c r="E485" i="1"/>
  <c r="D485" i="1"/>
  <c r="C485" i="1"/>
  <c r="F484" i="1"/>
  <c r="E484" i="1"/>
  <c r="D484" i="1"/>
  <c r="C484" i="1"/>
  <c r="E483" i="1"/>
  <c r="D483" i="1"/>
  <c r="F483" i="1" s="1"/>
  <c r="C483" i="1"/>
  <c r="F482" i="1"/>
  <c r="E482" i="1"/>
  <c r="D482" i="1"/>
  <c r="C482" i="1"/>
  <c r="F481" i="1"/>
  <c r="E481" i="1"/>
  <c r="D481" i="1"/>
  <c r="C481" i="1"/>
  <c r="E480" i="1"/>
  <c r="D480" i="1"/>
  <c r="F480" i="1" s="1"/>
  <c r="C480" i="1"/>
  <c r="F479" i="1"/>
  <c r="E479" i="1"/>
  <c r="D479" i="1"/>
  <c r="C479" i="1"/>
  <c r="F478" i="1"/>
  <c r="E478" i="1"/>
  <c r="D478" i="1"/>
  <c r="C478" i="1"/>
  <c r="E477" i="1"/>
  <c r="D477" i="1"/>
  <c r="F477" i="1" s="1"/>
  <c r="C477" i="1"/>
  <c r="F476" i="1"/>
  <c r="E476" i="1"/>
  <c r="D476" i="1"/>
  <c r="C476" i="1"/>
  <c r="F475" i="1"/>
  <c r="E475" i="1"/>
  <c r="D475" i="1"/>
  <c r="C475" i="1"/>
  <c r="E474" i="1"/>
  <c r="D474" i="1"/>
  <c r="F474" i="1" s="1"/>
  <c r="C474" i="1"/>
  <c r="F473" i="1"/>
  <c r="E473" i="1"/>
  <c r="D473" i="1"/>
  <c r="C473" i="1"/>
  <c r="F472" i="1"/>
  <c r="E472" i="1"/>
  <c r="D472" i="1"/>
  <c r="C472" i="1"/>
  <c r="E471" i="1"/>
  <c r="D471" i="1"/>
  <c r="F471" i="1" s="1"/>
  <c r="C471" i="1"/>
  <c r="F470" i="1"/>
  <c r="E470" i="1"/>
  <c r="D470" i="1"/>
  <c r="C470" i="1"/>
  <c r="F469" i="1"/>
  <c r="E469" i="1"/>
  <c r="D469" i="1"/>
  <c r="C469" i="1"/>
  <c r="E468" i="1"/>
  <c r="D468" i="1"/>
  <c r="F468" i="1" s="1"/>
  <c r="C468" i="1"/>
  <c r="F467" i="1"/>
  <c r="E467" i="1"/>
  <c r="D467" i="1"/>
  <c r="C467" i="1"/>
  <c r="F466" i="1"/>
  <c r="E466" i="1"/>
  <c r="D466" i="1"/>
  <c r="C466" i="1"/>
  <c r="E465" i="1"/>
  <c r="D465" i="1"/>
  <c r="F465" i="1" s="1"/>
  <c r="C465" i="1"/>
  <c r="F464" i="1"/>
  <c r="E464" i="1"/>
  <c r="D464" i="1"/>
  <c r="C464" i="1"/>
  <c r="F463" i="1"/>
  <c r="E463" i="1"/>
  <c r="D463" i="1"/>
  <c r="C463" i="1"/>
  <c r="E462" i="1"/>
  <c r="D462" i="1"/>
  <c r="F462" i="1" s="1"/>
  <c r="C462" i="1"/>
  <c r="F461" i="1"/>
  <c r="E461" i="1"/>
  <c r="D461" i="1"/>
  <c r="C461" i="1"/>
  <c r="F460" i="1"/>
  <c r="E460" i="1"/>
  <c r="D460" i="1"/>
  <c r="C460" i="1"/>
  <c r="E459" i="1"/>
  <c r="D459" i="1"/>
  <c r="F459" i="1" s="1"/>
  <c r="C459" i="1"/>
  <c r="F458" i="1"/>
  <c r="E458" i="1"/>
  <c r="D458" i="1"/>
  <c r="C458" i="1"/>
  <c r="F457" i="1"/>
  <c r="E457" i="1"/>
  <c r="D457" i="1"/>
  <c r="C457" i="1"/>
  <c r="E456" i="1"/>
  <c r="D456" i="1"/>
  <c r="F456" i="1" s="1"/>
  <c r="C456" i="1"/>
  <c r="F455" i="1"/>
  <c r="E455" i="1"/>
  <c r="D455" i="1"/>
  <c r="C455" i="1"/>
  <c r="F454" i="1"/>
  <c r="E454" i="1"/>
  <c r="D454" i="1"/>
  <c r="C454" i="1"/>
  <c r="E453" i="1"/>
  <c r="D453" i="1"/>
  <c r="F453" i="1" s="1"/>
  <c r="C453" i="1"/>
  <c r="F452" i="1"/>
  <c r="E452" i="1"/>
  <c r="D452" i="1"/>
  <c r="C452" i="1"/>
  <c r="F451" i="1"/>
  <c r="E451" i="1"/>
  <c r="D451" i="1"/>
  <c r="C451" i="1"/>
  <c r="E450" i="1"/>
  <c r="D450" i="1"/>
  <c r="F450" i="1" s="1"/>
  <c r="C450" i="1"/>
  <c r="F449" i="1"/>
  <c r="E449" i="1"/>
  <c r="D449" i="1"/>
  <c r="C449" i="1"/>
  <c r="F448" i="1"/>
  <c r="E448" i="1"/>
  <c r="D448" i="1"/>
  <c r="C448" i="1"/>
  <c r="E447" i="1"/>
  <c r="D447" i="1"/>
  <c r="F447" i="1" s="1"/>
  <c r="C447" i="1"/>
  <c r="F446" i="1"/>
  <c r="E446" i="1"/>
  <c r="D446" i="1"/>
  <c r="C446" i="1"/>
  <c r="F445" i="1"/>
  <c r="E445" i="1"/>
  <c r="D445" i="1"/>
  <c r="C445" i="1"/>
  <c r="E444" i="1"/>
  <c r="D444" i="1"/>
  <c r="F444" i="1" s="1"/>
  <c r="C444" i="1"/>
  <c r="F443" i="1"/>
  <c r="E443" i="1"/>
  <c r="D443" i="1"/>
  <c r="C443" i="1"/>
  <c r="F442" i="1"/>
  <c r="E442" i="1"/>
  <c r="D442" i="1"/>
  <c r="C442" i="1"/>
  <c r="E441" i="1"/>
  <c r="D441" i="1"/>
  <c r="F441" i="1" s="1"/>
  <c r="C441" i="1"/>
  <c r="F440" i="1"/>
  <c r="E440" i="1"/>
  <c r="D440" i="1"/>
  <c r="C440" i="1"/>
  <c r="F439" i="1"/>
  <c r="E439" i="1"/>
  <c r="D439" i="1"/>
  <c r="C439" i="1"/>
  <c r="E438" i="1"/>
  <c r="D438" i="1"/>
  <c r="F438" i="1" s="1"/>
  <c r="C438" i="1"/>
  <c r="F437" i="1"/>
  <c r="E437" i="1"/>
  <c r="D437" i="1"/>
  <c r="C437" i="1"/>
  <c r="F436" i="1"/>
  <c r="E436" i="1"/>
  <c r="D436" i="1"/>
  <c r="C436" i="1"/>
  <c r="E435" i="1"/>
  <c r="D435" i="1"/>
  <c r="F435" i="1" s="1"/>
  <c r="C435" i="1"/>
  <c r="F434" i="1"/>
  <c r="E434" i="1"/>
  <c r="D434" i="1"/>
  <c r="C434" i="1"/>
  <c r="F433" i="1"/>
  <c r="E433" i="1"/>
  <c r="D433" i="1"/>
  <c r="C433" i="1"/>
  <c r="E432" i="1"/>
  <c r="D432" i="1"/>
  <c r="F432" i="1" s="1"/>
  <c r="C432" i="1"/>
  <c r="F431" i="1"/>
  <c r="E431" i="1"/>
  <c r="D431" i="1"/>
  <c r="C431" i="1"/>
  <c r="F430" i="1"/>
  <c r="E430" i="1"/>
  <c r="D430" i="1"/>
  <c r="C430" i="1"/>
  <c r="E429" i="1"/>
  <c r="D429" i="1"/>
  <c r="F429" i="1" s="1"/>
  <c r="C429" i="1"/>
  <c r="F428" i="1"/>
  <c r="E428" i="1"/>
  <c r="D428" i="1"/>
  <c r="C428" i="1"/>
  <c r="F427" i="1"/>
  <c r="E427" i="1"/>
  <c r="D427" i="1"/>
  <c r="C427" i="1"/>
  <c r="E426" i="1"/>
  <c r="D426" i="1"/>
  <c r="F426" i="1" s="1"/>
  <c r="C426" i="1"/>
  <c r="F425" i="1"/>
  <c r="E425" i="1"/>
  <c r="D425" i="1"/>
  <c r="C425" i="1"/>
  <c r="F424" i="1"/>
  <c r="E424" i="1"/>
  <c r="D424" i="1"/>
  <c r="C424" i="1"/>
  <c r="E423" i="1"/>
  <c r="D423" i="1"/>
  <c r="F423" i="1" s="1"/>
  <c r="C423" i="1"/>
  <c r="F422" i="1"/>
  <c r="E422" i="1"/>
  <c r="D422" i="1"/>
  <c r="C422" i="1"/>
  <c r="F421" i="1"/>
  <c r="E421" i="1"/>
  <c r="D421" i="1"/>
  <c r="C421" i="1"/>
  <c r="E420" i="1"/>
  <c r="D420" i="1"/>
  <c r="F420" i="1" s="1"/>
  <c r="C420" i="1"/>
  <c r="F419" i="1"/>
  <c r="E419" i="1"/>
  <c r="D419" i="1"/>
  <c r="C419" i="1"/>
  <c r="F418" i="1"/>
  <c r="E418" i="1"/>
  <c r="D418" i="1"/>
  <c r="C418" i="1"/>
  <c r="E417" i="1"/>
  <c r="D417" i="1"/>
  <c r="F417" i="1" s="1"/>
  <c r="C417" i="1"/>
  <c r="F416" i="1"/>
  <c r="E416" i="1"/>
  <c r="D416" i="1"/>
  <c r="C416" i="1"/>
  <c r="F415" i="1"/>
  <c r="E415" i="1"/>
  <c r="D415" i="1"/>
  <c r="C415" i="1"/>
  <c r="E414" i="1"/>
  <c r="D414" i="1"/>
  <c r="F414" i="1" s="1"/>
  <c r="C414" i="1"/>
  <c r="F413" i="1"/>
  <c r="E413" i="1"/>
  <c r="D413" i="1"/>
  <c r="C413" i="1"/>
  <c r="F412" i="1"/>
  <c r="E412" i="1"/>
  <c r="D412" i="1"/>
  <c r="C412" i="1"/>
  <c r="E411" i="1"/>
  <c r="D411" i="1"/>
  <c r="F411" i="1" s="1"/>
  <c r="C411" i="1"/>
  <c r="F410" i="1"/>
  <c r="E410" i="1"/>
  <c r="D410" i="1"/>
  <c r="C410" i="1"/>
  <c r="F409" i="1"/>
  <c r="E409" i="1"/>
  <c r="D409" i="1"/>
  <c r="C409" i="1"/>
  <c r="E408" i="1"/>
  <c r="D408" i="1"/>
  <c r="F408" i="1" s="1"/>
  <c r="C408" i="1"/>
  <c r="F407" i="1"/>
  <c r="E407" i="1"/>
  <c r="D407" i="1"/>
  <c r="C407" i="1"/>
  <c r="F406" i="1"/>
  <c r="E406" i="1"/>
  <c r="D406" i="1"/>
  <c r="C406" i="1"/>
  <c r="E405" i="1"/>
  <c r="D405" i="1"/>
  <c r="F405" i="1" s="1"/>
  <c r="C405" i="1"/>
  <c r="F404" i="1"/>
  <c r="E404" i="1"/>
  <c r="D404" i="1"/>
  <c r="C404" i="1"/>
  <c r="F403" i="1"/>
  <c r="E403" i="1"/>
  <c r="D403" i="1"/>
  <c r="C403" i="1"/>
  <c r="E402" i="1"/>
  <c r="D402" i="1"/>
  <c r="F402" i="1" s="1"/>
  <c r="C402" i="1"/>
  <c r="F401" i="1"/>
  <c r="E401" i="1"/>
  <c r="D401" i="1"/>
  <c r="C401" i="1"/>
  <c r="F400" i="1"/>
  <c r="E400" i="1"/>
  <c r="D400" i="1"/>
  <c r="C400" i="1"/>
  <c r="E399" i="1"/>
  <c r="D399" i="1"/>
  <c r="F399" i="1" s="1"/>
  <c r="C399" i="1"/>
  <c r="F398" i="1"/>
  <c r="E398" i="1"/>
  <c r="D398" i="1"/>
  <c r="C398" i="1"/>
  <c r="F397" i="1"/>
  <c r="E397" i="1"/>
  <c r="D397" i="1"/>
  <c r="C397" i="1"/>
  <c r="E396" i="1"/>
  <c r="D396" i="1"/>
  <c r="F396" i="1" s="1"/>
  <c r="C396" i="1"/>
  <c r="F395" i="1"/>
  <c r="E395" i="1"/>
  <c r="D395" i="1"/>
  <c r="C395" i="1"/>
  <c r="F394" i="1"/>
  <c r="E394" i="1"/>
  <c r="D394" i="1"/>
  <c r="C394" i="1"/>
  <c r="E393" i="1"/>
  <c r="D393" i="1"/>
  <c r="F393" i="1" s="1"/>
  <c r="C393" i="1"/>
  <c r="F392" i="1"/>
  <c r="E392" i="1"/>
  <c r="D392" i="1"/>
  <c r="C392" i="1"/>
  <c r="F391" i="1"/>
  <c r="E391" i="1"/>
  <c r="D391" i="1"/>
  <c r="C391" i="1"/>
  <c r="E390" i="1"/>
  <c r="D390" i="1"/>
  <c r="F390" i="1" s="1"/>
  <c r="C390" i="1"/>
  <c r="F389" i="1"/>
  <c r="E389" i="1"/>
  <c r="D389" i="1"/>
  <c r="C389" i="1"/>
  <c r="F388" i="1"/>
  <c r="E388" i="1"/>
  <c r="D388" i="1"/>
  <c r="C388" i="1"/>
  <c r="E387" i="1"/>
  <c r="D387" i="1"/>
  <c r="F387" i="1" s="1"/>
  <c r="C387" i="1"/>
  <c r="F386" i="1"/>
  <c r="E386" i="1"/>
  <c r="D386" i="1"/>
  <c r="C386" i="1"/>
  <c r="F385" i="1"/>
  <c r="E385" i="1"/>
  <c r="D385" i="1"/>
  <c r="C385" i="1"/>
  <c r="E384" i="1"/>
  <c r="D384" i="1"/>
  <c r="F384" i="1" s="1"/>
  <c r="C384" i="1"/>
  <c r="F383" i="1"/>
  <c r="E383" i="1"/>
  <c r="D383" i="1"/>
  <c r="C383" i="1"/>
  <c r="F382" i="1"/>
  <c r="E382" i="1"/>
  <c r="D382" i="1"/>
  <c r="C382" i="1"/>
  <c r="E381" i="1"/>
  <c r="D381" i="1"/>
  <c r="F381" i="1" s="1"/>
  <c r="C381" i="1"/>
  <c r="F380" i="1"/>
  <c r="E380" i="1"/>
  <c r="D380" i="1"/>
  <c r="C380" i="1"/>
  <c r="F379" i="1"/>
  <c r="E379" i="1"/>
  <c r="D379" i="1"/>
  <c r="C379" i="1"/>
  <c r="E378" i="1"/>
  <c r="D378" i="1"/>
  <c r="F378" i="1" s="1"/>
  <c r="C378" i="1"/>
  <c r="F377" i="1"/>
  <c r="E377" i="1"/>
  <c r="D377" i="1"/>
  <c r="C377" i="1"/>
  <c r="F376" i="1"/>
  <c r="E376" i="1"/>
  <c r="D376" i="1"/>
  <c r="C376" i="1"/>
  <c r="E375" i="1"/>
  <c r="D375" i="1"/>
  <c r="F375" i="1" s="1"/>
  <c r="C375" i="1"/>
  <c r="F374" i="1"/>
  <c r="E374" i="1"/>
  <c r="D374" i="1"/>
  <c r="C374" i="1"/>
  <c r="F373" i="1"/>
  <c r="E373" i="1"/>
  <c r="D373" i="1"/>
  <c r="C373" i="1"/>
  <c r="E372" i="1"/>
  <c r="D372" i="1"/>
  <c r="F372" i="1" s="1"/>
  <c r="C372" i="1"/>
  <c r="F371" i="1"/>
  <c r="E371" i="1"/>
  <c r="D371" i="1"/>
  <c r="C371" i="1"/>
  <c r="F370" i="1"/>
  <c r="E370" i="1"/>
  <c r="D370" i="1"/>
  <c r="C370" i="1"/>
  <c r="E369" i="1"/>
  <c r="D369" i="1"/>
  <c r="F369" i="1" s="1"/>
  <c r="C369" i="1"/>
  <c r="F368" i="1"/>
  <c r="E368" i="1"/>
  <c r="D368" i="1"/>
  <c r="C368" i="1"/>
  <c r="F367" i="1"/>
  <c r="E367" i="1"/>
  <c r="D367" i="1"/>
  <c r="C367" i="1"/>
  <c r="E366" i="1"/>
  <c r="D366" i="1"/>
  <c r="F366" i="1" s="1"/>
  <c r="C366" i="1"/>
  <c r="F365" i="1"/>
  <c r="E365" i="1"/>
  <c r="D365" i="1"/>
  <c r="C365" i="1"/>
  <c r="F364" i="1"/>
  <c r="E364" i="1"/>
  <c r="D364" i="1"/>
  <c r="C364" i="1"/>
  <c r="E363" i="1"/>
  <c r="D363" i="1"/>
  <c r="F363" i="1" s="1"/>
  <c r="C363" i="1"/>
  <c r="F362" i="1"/>
  <c r="E362" i="1"/>
  <c r="D362" i="1"/>
  <c r="C362" i="1"/>
  <c r="F361" i="1"/>
  <c r="E361" i="1"/>
  <c r="D361" i="1"/>
  <c r="C361" i="1"/>
  <c r="E360" i="1"/>
  <c r="D360" i="1"/>
  <c r="F360" i="1" s="1"/>
  <c r="C360" i="1"/>
  <c r="F359" i="1"/>
  <c r="E359" i="1"/>
  <c r="D359" i="1"/>
  <c r="C359" i="1"/>
  <c r="F358" i="1"/>
  <c r="E358" i="1"/>
  <c r="D358" i="1"/>
  <c r="C358" i="1"/>
  <c r="E357" i="1"/>
  <c r="D357" i="1"/>
  <c r="F357" i="1" s="1"/>
  <c r="C357" i="1"/>
  <c r="F356" i="1"/>
  <c r="E356" i="1"/>
  <c r="D356" i="1"/>
  <c r="C356" i="1"/>
  <c r="F355" i="1"/>
  <c r="E355" i="1"/>
  <c r="D355" i="1"/>
  <c r="C355" i="1"/>
  <c r="E354" i="1"/>
  <c r="D354" i="1"/>
  <c r="F354" i="1" s="1"/>
  <c r="C354" i="1"/>
  <c r="F353" i="1"/>
  <c r="E353" i="1"/>
  <c r="D353" i="1"/>
  <c r="C353" i="1"/>
  <c r="F352" i="1"/>
  <c r="E352" i="1"/>
  <c r="D352" i="1"/>
  <c r="C352" i="1"/>
  <c r="E351" i="1"/>
  <c r="D351" i="1"/>
  <c r="F351" i="1" s="1"/>
  <c r="C351" i="1"/>
  <c r="F350" i="1"/>
  <c r="E350" i="1"/>
  <c r="D350" i="1"/>
  <c r="C350" i="1"/>
  <c r="F349" i="1"/>
  <c r="E349" i="1"/>
  <c r="D349" i="1"/>
  <c r="C349" i="1"/>
  <c r="E348" i="1"/>
  <c r="D348" i="1"/>
  <c r="F348" i="1" s="1"/>
  <c r="C348" i="1"/>
  <c r="F347" i="1"/>
  <c r="E347" i="1"/>
  <c r="D347" i="1"/>
  <c r="C347" i="1"/>
  <c r="F346" i="1"/>
  <c r="E346" i="1"/>
  <c r="D346" i="1"/>
  <c r="C346" i="1"/>
  <c r="E345" i="1"/>
  <c r="D345" i="1"/>
  <c r="F345" i="1" s="1"/>
  <c r="C345" i="1"/>
  <c r="F344" i="1"/>
  <c r="E344" i="1"/>
  <c r="D344" i="1"/>
  <c r="C344" i="1"/>
  <c r="F343" i="1"/>
  <c r="E343" i="1"/>
  <c r="D343" i="1"/>
  <c r="C343" i="1"/>
  <c r="E342" i="1"/>
  <c r="D342" i="1"/>
  <c r="F342" i="1" s="1"/>
  <c r="C342" i="1"/>
  <c r="F341" i="1"/>
  <c r="E341" i="1"/>
  <c r="D341" i="1"/>
  <c r="C341" i="1"/>
  <c r="F340" i="1"/>
  <c r="E340" i="1"/>
  <c r="D340" i="1"/>
  <c r="C340" i="1"/>
  <c r="E339" i="1"/>
  <c r="D339" i="1"/>
  <c r="F339" i="1" s="1"/>
  <c r="C339" i="1"/>
  <c r="F338" i="1"/>
  <c r="E338" i="1"/>
  <c r="D338" i="1"/>
  <c r="C338" i="1"/>
  <c r="F337" i="1"/>
  <c r="E337" i="1"/>
  <c r="D337" i="1"/>
  <c r="C337" i="1"/>
  <c r="E336" i="1"/>
  <c r="D336" i="1"/>
  <c r="F336" i="1" s="1"/>
  <c r="C336" i="1"/>
  <c r="F335" i="1"/>
  <c r="E335" i="1"/>
  <c r="D335" i="1"/>
  <c r="C335" i="1"/>
  <c r="F334" i="1"/>
  <c r="E334" i="1"/>
  <c r="D334" i="1"/>
  <c r="C334" i="1"/>
  <c r="E333" i="1"/>
  <c r="D333" i="1"/>
  <c r="F333" i="1" s="1"/>
  <c r="C333" i="1"/>
  <c r="F332" i="1"/>
  <c r="E332" i="1"/>
  <c r="D332" i="1"/>
  <c r="C332" i="1"/>
  <c r="F331" i="1"/>
  <c r="E331" i="1"/>
  <c r="D331" i="1"/>
  <c r="C331" i="1"/>
  <c r="E330" i="1"/>
  <c r="D330" i="1"/>
  <c r="F330" i="1" s="1"/>
  <c r="C330" i="1"/>
  <c r="F329" i="1"/>
  <c r="E329" i="1"/>
  <c r="D329" i="1"/>
  <c r="C329" i="1"/>
  <c r="F328" i="1"/>
  <c r="E328" i="1"/>
  <c r="D328" i="1"/>
  <c r="C328" i="1"/>
  <c r="E327" i="1"/>
  <c r="D327" i="1"/>
  <c r="F327" i="1" s="1"/>
  <c r="C327" i="1"/>
  <c r="F326" i="1"/>
  <c r="E326" i="1"/>
  <c r="D326" i="1"/>
  <c r="C326" i="1"/>
  <c r="F325" i="1"/>
  <c r="E325" i="1"/>
  <c r="D325" i="1"/>
  <c r="C325" i="1"/>
  <c r="E324" i="1"/>
  <c r="D324" i="1"/>
  <c r="F324" i="1" s="1"/>
  <c r="C324" i="1"/>
  <c r="F323" i="1"/>
  <c r="E323" i="1"/>
  <c r="D323" i="1"/>
  <c r="C323" i="1"/>
  <c r="F322" i="1"/>
  <c r="E322" i="1"/>
  <c r="D322" i="1"/>
  <c r="C322" i="1"/>
  <c r="E321" i="1"/>
  <c r="D321" i="1"/>
  <c r="F321" i="1" s="1"/>
  <c r="C321" i="1"/>
  <c r="F320" i="1"/>
  <c r="E320" i="1"/>
  <c r="D320" i="1"/>
  <c r="C320" i="1"/>
  <c r="F319" i="1"/>
  <c r="E319" i="1"/>
  <c r="D319" i="1"/>
  <c r="C319" i="1"/>
  <c r="E318" i="1"/>
  <c r="D318" i="1"/>
  <c r="F318" i="1" s="1"/>
  <c r="C318" i="1"/>
  <c r="F317" i="1"/>
  <c r="E317" i="1"/>
  <c r="D317" i="1"/>
  <c r="C317" i="1"/>
  <c r="F316" i="1"/>
  <c r="E316" i="1"/>
  <c r="D316" i="1"/>
  <c r="C316" i="1"/>
  <c r="E315" i="1"/>
  <c r="D315" i="1"/>
  <c r="F315" i="1" s="1"/>
  <c r="C315" i="1"/>
  <c r="F314" i="1"/>
  <c r="E314" i="1"/>
  <c r="D314" i="1"/>
  <c r="C314" i="1"/>
  <c r="F313" i="1"/>
  <c r="E313" i="1"/>
  <c r="D313" i="1"/>
  <c r="C313" i="1"/>
  <c r="E312" i="1"/>
  <c r="D312" i="1"/>
  <c r="F312" i="1" s="1"/>
  <c r="C312" i="1"/>
  <c r="F311" i="1"/>
  <c r="E311" i="1"/>
  <c r="D311" i="1"/>
  <c r="C311" i="1"/>
  <c r="F310" i="1"/>
  <c r="E310" i="1"/>
  <c r="D310" i="1"/>
  <c r="C310" i="1"/>
  <c r="E309" i="1"/>
  <c r="D309" i="1"/>
  <c r="F309" i="1" s="1"/>
  <c r="C309" i="1"/>
  <c r="F308" i="1"/>
  <c r="E308" i="1"/>
  <c r="D308" i="1"/>
  <c r="C308" i="1"/>
  <c r="F307" i="1"/>
  <c r="E307" i="1"/>
  <c r="D307" i="1"/>
  <c r="C307" i="1"/>
  <c r="E306" i="1"/>
  <c r="D306" i="1"/>
  <c r="F306" i="1" s="1"/>
  <c r="C306" i="1"/>
  <c r="F305" i="1"/>
  <c r="E305" i="1"/>
  <c r="D305" i="1"/>
  <c r="C305" i="1"/>
  <c r="F304" i="1"/>
  <c r="E304" i="1"/>
  <c r="D304" i="1"/>
  <c r="C304" i="1"/>
  <c r="E303" i="1"/>
  <c r="D303" i="1"/>
  <c r="F303" i="1" s="1"/>
  <c r="C303" i="1"/>
  <c r="F302" i="1"/>
  <c r="E302" i="1"/>
  <c r="D302" i="1"/>
  <c r="C302" i="1"/>
  <c r="F301" i="1"/>
  <c r="E301" i="1"/>
  <c r="D301" i="1"/>
  <c r="C301" i="1"/>
  <c r="E300" i="1"/>
  <c r="D300" i="1"/>
  <c r="F300" i="1" s="1"/>
  <c r="C300" i="1"/>
  <c r="F299" i="1"/>
  <c r="E299" i="1"/>
  <c r="D299" i="1"/>
  <c r="C299" i="1"/>
  <c r="F298" i="1"/>
  <c r="E298" i="1"/>
  <c r="D298" i="1"/>
  <c r="C298" i="1"/>
  <c r="E297" i="1"/>
  <c r="D297" i="1"/>
  <c r="F297" i="1" s="1"/>
  <c r="C297" i="1"/>
  <c r="F296" i="1"/>
  <c r="E296" i="1"/>
  <c r="D296" i="1"/>
  <c r="C296" i="1"/>
  <c r="F295" i="1"/>
  <c r="E295" i="1"/>
  <c r="D295" i="1"/>
  <c r="C295" i="1"/>
  <c r="E294" i="1"/>
  <c r="D294" i="1"/>
  <c r="F294" i="1" s="1"/>
  <c r="C294" i="1"/>
  <c r="F293" i="1"/>
  <c r="E293" i="1"/>
  <c r="D293" i="1"/>
  <c r="C293" i="1"/>
  <c r="F292" i="1"/>
  <c r="E292" i="1"/>
  <c r="D292" i="1"/>
  <c r="C292" i="1"/>
  <c r="E291" i="1"/>
  <c r="D291" i="1"/>
  <c r="F291" i="1" s="1"/>
  <c r="C291" i="1"/>
  <c r="F290" i="1"/>
  <c r="E290" i="1"/>
  <c r="D290" i="1"/>
  <c r="C290" i="1"/>
  <c r="F289" i="1"/>
  <c r="E289" i="1"/>
  <c r="D289" i="1"/>
  <c r="C289" i="1"/>
  <c r="E288" i="1"/>
  <c r="D288" i="1"/>
  <c r="F288" i="1" s="1"/>
  <c r="C288" i="1"/>
  <c r="F287" i="1"/>
  <c r="E287" i="1"/>
  <c r="D287" i="1"/>
  <c r="C287" i="1"/>
  <c r="F286" i="1"/>
  <c r="E286" i="1"/>
  <c r="D286" i="1"/>
  <c r="C286" i="1"/>
  <c r="E285" i="1"/>
  <c r="D285" i="1"/>
  <c r="F285" i="1" s="1"/>
  <c r="C285" i="1"/>
  <c r="F284" i="1"/>
  <c r="E284" i="1"/>
  <c r="D284" i="1"/>
  <c r="C284" i="1"/>
  <c r="F283" i="1"/>
  <c r="E283" i="1"/>
  <c r="D283" i="1"/>
  <c r="C283" i="1"/>
  <c r="E282" i="1"/>
  <c r="D282" i="1"/>
  <c r="F282" i="1" s="1"/>
  <c r="C282" i="1"/>
  <c r="F281" i="1"/>
  <c r="E281" i="1"/>
  <c r="D281" i="1"/>
  <c r="C281" i="1"/>
  <c r="F280" i="1"/>
  <c r="E280" i="1"/>
  <c r="D280" i="1"/>
  <c r="C280" i="1"/>
  <c r="E279" i="1"/>
  <c r="D279" i="1"/>
  <c r="F279" i="1" s="1"/>
  <c r="C279" i="1"/>
  <c r="F278" i="1"/>
  <c r="E278" i="1"/>
  <c r="D278" i="1"/>
  <c r="C278" i="1"/>
  <c r="F277" i="1"/>
  <c r="E277" i="1"/>
  <c r="D277" i="1"/>
  <c r="C277" i="1"/>
  <c r="E276" i="1"/>
  <c r="D276" i="1"/>
  <c r="F276" i="1" s="1"/>
  <c r="C276" i="1"/>
  <c r="F275" i="1"/>
  <c r="E275" i="1"/>
  <c r="D275" i="1"/>
  <c r="C275" i="1"/>
  <c r="F274" i="1"/>
  <c r="E274" i="1"/>
  <c r="D274" i="1"/>
  <c r="C274" i="1"/>
  <c r="E273" i="1"/>
  <c r="D273" i="1"/>
  <c r="F273" i="1" s="1"/>
  <c r="C273" i="1"/>
  <c r="F272" i="1"/>
  <c r="E272" i="1"/>
  <c r="D272" i="1"/>
  <c r="C272" i="1"/>
  <c r="F271" i="1"/>
  <c r="E271" i="1"/>
  <c r="D271" i="1"/>
  <c r="C271" i="1"/>
  <c r="E270" i="1"/>
  <c r="D270" i="1"/>
  <c r="F270" i="1" s="1"/>
  <c r="C270" i="1"/>
  <c r="F269" i="1"/>
  <c r="E269" i="1"/>
  <c r="D269" i="1"/>
  <c r="C269" i="1"/>
  <c r="F268" i="1"/>
  <c r="E268" i="1"/>
  <c r="D268" i="1"/>
  <c r="C268" i="1"/>
  <c r="E267" i="1"/>
  <c r="D267" i="1"/>
  <c r="F267" i="1" s="1"/>
  <c r="C267" i="1"/>
  <c r="F266" i="1"/>
  <c r="E266" i="1"/>
  <c r="D266" i="1"/>
  <c r="C266" i="1"/>
  <c r="F265" i="1"/>
  <c r="E265" i="1"/>
  <c r="D265" i="1"/>
  <c r="C265" i="1"/>
  <c r="E264" i="1"/>
  <c r="D264" i="1"/>
  <c r="F264" i="1" s="1"/>
  <c r="C264" i="1"/>
  <c r="F263" i="1"/>
  <c r="E263" i="1"/>
  <c r="D263" i="1"/>
  <c r="C263" i="1"/>
  <c r="F262" i="1"/>
  <c r="E262" i="1"/>
  <c r="D262" i="1"/>
  <c r="C262" i="1"/>
  <c r="E261" i="1"/>
  <c r="D261" i="1"/>
  <c r="F261" i="1" s="1"/>
  <c r="C261" i="1"/>
  <c r="F260" i="1"/>
  <c r="E260" i="1"/>
  <c r="D260" i="1"/>
  <c r="C260" i="1"/>
  <c r="F259" i="1"/>
  <c r="E259" i="1"/>
  <c r="D259" i="1"/>
  <c r="C259" i="1"/>
  <c r="E258" i="1"/>
  <c r="D258" i="1"/>
  <c r="F258" i="1" s="1"/>
  <c r="C258" i="1"/>
  <c r="F257" i="1"/>
  <c r="E257" i="1"/>
  <c r="D257" i="1"/>
  <c r="C257" i="1"/>
  <c r="F256" i="1"/>
  <c r="E256" i="1"/>
  <c r="D256" i="1"/>
  <c r="C256" i="1"/>
  <c r="E255" i="1"/>
  <c r="D255" i="1"/>
  <c r="F255" i="1" s="1"/>
  <c r="C255" i="1"/>
  <c r="F254" i="1"/>
  <c r="E254" i="1"/>
  <c r="D254" i="1"/>
  <c r="C254" i="1"/>
  <c r="F253" i="1"/>
  <c r="E253" i="1"/>
  <c r="D253" i="1"/>
  <c r="C253" i="1"/>
  <c r="E252" i="1"/>
  <c r="D252" i="1"/>
  <c r="F252" i="1" s="1"/>
  <c r="C252" i="1"/>
  <c r="F251" i="1"/>
  <c r="E251" i="1"/>
  <c r="D251" i="1"/>
  <c r="C251" i="1"/>
  <c r="F250" i="1"/>
  <c r="E250" i="1"/>
  <c r="D250" i="1"/>
  <c r="C250" i="1"/>
  <c r="E249" i="1"/>
  <c r="D249" i="1"/>
  <c r="F249" i="1" s="1"/>
  <c r="C249" i="1"/>
  <c r="F248" i="1"/>
  <c r="E248" i="1"/>
  <c r="D248" i="1"/>
  <c r="C248" i="1"/>
  <c r="F247" i="1"/>
  <c r="E247" i="1"/>
  <c r="D247" i="1"/>
  <c r="C247" i="1"/>
  <c r="E246" i="1"/>
  <c r="D246" i="1"/>
  <c r="F246" i="1" s="1"/>
  <c r="C246" i="1"/>
  <c r="F245" i="1"/>
  <c r="E245" i="1"/>
  <c r="D245" i="1"/>
  <c r="C245" i="1"/>
  <c r="F244" i="1"/>
  <c r="E244" i="1"/>
  <c r="D244" i="1"/>
  <c r="C244" i="1"/>
  <c r="E243" i="1"/>
  <c r="D243" i="1"/>
  <c r="F243" i="1" s="1"/>
  <c r="C243" i="1"/>
  <c r="F242" i="1"/>
  <c r="E242" i="1"/>
  <c r="D242" i="1"/>
  <c r="C242" i="1"/>
  <c r="F241" i="1"/>
  <c r="E241" i="1"/>
  <c r="D241" i="1"/>
  <c r="C241" i="1"/>
  <c r="E240" i="1"/>
  <c r="D240" i="1"/>
  <c r="F240" i="1" s="1"/>
  <c r="C240" i="1"/>
  <c r="F239" i="1"/>
  <c r="E239" i="1"/>
  <c r="D239" i="1"/>
  <c r="C239" i="1"/>
  <c r="F238" i="1"/>
  <c r="E238" i="1"/>
  <c r="D238" i="1"/>
  <c r="C238" i="1"/>
  <c r="E237" i="1"/>
  <c r="D237" i="1"/>
  <c r="F237" i="1" s="1"/>
  <c r="C237" i="1"/>
  <c r="F236" i="1"/>
  <c r="E236" i="1"/>
  <c r="D236" i="1"/>
  <c r="C236" i="1"/>
  <c r="F235" i="1"/>
  <c r="E235" i="1"/>
  <c r="D235" i="1"/>
  <c r="C235" i="1"/>
  <c r="E234" i="1"/>
  <c r="D234" i="1"/>
  <c r="F234" i="1" s="1"/>
  <c r="C234" i="1"/>
  <c r="F233" i="1"/>
  <c r="E233" i="1"/>
  <c r="D233" i="1"/>
  <c r="C233" i="1"/>
  <c r="F232" i="1"/>
  <c r="E232" i="1"/>
  <c r="D232" i="1"/>
  <c r="C232" i="1"/>
  <c r="E231" i="1"/>
  <c r="D231" i="1"/>
  <c r="F231" i="1" s="1"/>
  <c r="C231" i="1"/>
  <c r="F230" i="1"/>
  <c r="E230" i="1"/>
  <c r="D230" i="1"/>
  <c r="C230" i="1"/>
  <c r="F229" i="1"/>
  <c r="E229" i="1"/>
  <c r="D229" i="1"/>
  <c r="C229" i="1"/>
  <c r="E228" i="1"/>
  <c r="D228" i="1"/>
  <c r="F228" i="1" s="1"/>
  <c r="C228" i="1"/>
  <c r="F227" i="1"/>
  <c r="E227" i="1"/>
  <c r="D227" i="1"/>
  <c r="C227" i="1"/>
  <c r="F226" i="1"/>
  <c r="E226" i="1"/>
  <c r="D226" i="1"/>
  <c r="C226" i="1"/>
  <c r="E225" i="1"/>
  <c r="D225" i="1"/>
  <c r="F225" i="1" s="1"/>
  <c r="C225" i="1"/>
  <c r="F224" i="1"/>
  <c r="E224" i="1"/>
  <c r="D224" i="1"/>
  <c r="C224" i="1"/>
  <c r="F223" i="1"/>
  <c r="E223" i="1"/>
  <c r="D223" i="1"/>
  <c r="C223" i="1"/>
  <c r="E222" i="1"/>
  <c r="D222" i="1"/>
  <c r="F222" i="1" s="1"/>
  <c r="C222" i="1"/>
  <c r="F221" i="1"/>
  <c r="E221" i="1"/>
  <c r="D221" i="1"/>
  <c r="C221" i="1"/>
  <c r="F220" i="1"/>
  <c r="E220" i="1"/>
  <c r="D220" i="1"/>
  <c r="C220" i="1"/>
  <c r="E219" i="1"/>
  <c r="D219" i="1"/>
  <c r="F219" i="1" s="1"/>
  <c r="C219" i="1"/>
  <c r="F218" i="1"/>
  <c r="E218" i="1"/>
  <c r="D218" i="1"/>
  <c r="C218" i="1"/>
  <c r="F217" i="1"/>
  <c r="E217" i="1"/>
  <c r="D217" i="1"/>
  <c r="C217" i="1"/>
  <c r="E216" i="1"/>
  <c r="D216" i="1"/>
  <c r="F216" i="1" s="1"/>
  <c r="C216" i="1"/>
  <c r="F215" i="1"/>
  <c r="E215" i="1"/>
  <c r="D215" i="1"/>
  <c r="C215" i="1"/>
  <c r="F214" i="1"/>
  <c r="E214" i="1"/>
  <c r="D214" i="1"/>
  <c r="C214" i="1"/>
  <c r="E213" i="1"/>
  <c r="D213" i="1"/>
  <c r="F213" i="1" s="1"/>
  <c r="C213" i="1"/>
  <c r="F212" i="1"/>
  <c r="E212" i="1"/>
  <c r="D212" i="1"/>
  <c r="C212" i="1"/>
  <c r="F211" i="1"/>
  <c r="E211" i="1"/>
  <c r="D211" i="1"/>
  <c r="C211" i="1"/>
  <c r="E210" i="1"/>
  <c r="D210" i="1"/>
  <c r="F210" i="1" s="1"/>
  <c r="C210" i="1"/>
  <c r="F209" i="1"/>
  <c r="E209" i="1"/>
  <c r="D209" i="1"/>
  <c r="C209" i="1"/>
  <c r="F208" i="1"/>
  <c r="E208" i="1"/>
  <c r="D208" i="1"/>
  <c r="C208" i="1"/>
  <c r="E207" i="1"/>
  <c r="D207" i="1"/>
  <c r="F207" i="1" s="1"/>
  <c r="C207" i="1"/>
  <c r="F206" i="1"/>
  <c r="E206" i="1"/>
  <c r="D206" i="1"/>
  <c r="C206" i="1"/>
  <c r="F205" i="1"/>
  <c r="E205" i="1"/>
  <c r="D205" i="1"/>
  <c r="C205" i="1"/>
  <c r="E204" i="1"/>
  <c r="D204" i="1"/>
  <c r="F204" i="1" s="1"/>
  <c r="C204" i="1"/>
  <c r="F203" i="1"/>
  <c r="E203" i="1"/>
  <c r="D203" i="1"/>
  <c r="C203" i="1"/>
  <c r="F202" i="1"/>
  <c r="E202" i="1"/>
  <c r="D202" i="1"/>
  <c r="C202" i="1"/>
  <c r="E201" i="1"/>
  <c r="D201" i="1"/>
  <c r="F201" i="1" s="1"/>
  <c r="C201" i="1"/>
  <c r="F200" i="1"/>
  <c r="E200" i="1"/>
  <c r="D200" i="1"/>
  <c r="C200" i="1"/>
  <c r="F199" i="1"/>
  <c r="E199" i="1"/>
  <c r="D199" i="1"/>
  <c r="C199" i="1"/>
  <c r="E198" i="1"/>
  <c r="D198" i="1"/>
  <c r="F198" i="1" s="1"/>
  <c r="C198" i="1"/>
  <c r="F197" i="1"/>
  <c r="E197" i="1"/>
  <c r="D197" i="1"/>
  <c r="C197" i="1"/>
  <c r="F196" i="1"/>
  <c r="E196" i="1"/>
  <c r="D196" i="1"/>
  <c r="C196" i="1"/>
  <c r="E195" i="1"/>
  <c r="D195" i="1"/>
  <c r="F195" i="1" s="1"/>
  <c r="C195" i="1"/>
  <c r="F194" i="1"/>
  <c r="E194" i="1"/>
  <c r="D194" i="1"/>
  <c r="C194" i="1"/>
  <c r="F193" i="1"/>
  <c r="E193" i="1"/>
  <c r="D193" i="1"/>
  <c r="C193" i="1"/>
  <c r="E192" i="1"/>
  <c r="D192" i="1"/>
  <c r="F192" i="1" s="1"/>
  <c r="C192" i="1"/>
  <c r="F191" i="1"/>
  <c r="E191" i="1"/>
  <c r="D191" i="1"/>
  <c r="C191" i="1"/>
  <c r="F190" i="1"/>
  <c r="E190" i="1"/>
  <c r="D190" i="1"/>
  <c r="C190" i="1"/>
  <c r="E189" i="1"/>
  <c r="D189" i="1"/>
  <c r="F189" i="1" s="1"/>
  <c r="C189" i="1"/>
  <c r="F188" i="1"/>
  <c r="E188" i="1"/>
  <c r="D188" i="1"/>
  <c r="C188" i="1"/>
  <c r="F187" i="1"/>
  <c r="E187" i="1"/>
  <c r="D187" i="1"/>
  <c r="C187" i="1"/>
  <c r="E186" i="1"/>
  <c r="D186" i="1"/>
  <c r="F186" i="1" s="1"/>
  <c r="C186" i="1"/>
  <c r="F185" i="1"/>
  <c r="E185" i="1"/>
  <c r="D185" i="1"/>
  <c r="C185" i="1"/>
  <c r="F184" i="1"/>
  <c r="E184" i="1"/>
  <c r="D184" i="1"/>
  <c r="C184" i="1"/>
  <c r="E183" i="1"/>
  <c r="D183" i="1"/>
  <c r="F183" i="1" s="1"/>
  <c r="C183" i="1"/>
  <c r="F182" i="1"/>
  <c r="E182" i="1"/>
  <c r="D182" i="1"/>
  <c r="C182" i="1"/>
  <c r="F181" i="1"/>
  <c r="E181" i="1"/>
  <c r="D181" i="1"/>
  <c r="C181" i="1"/>
  <c r="E180" i="1"/>
  <c r="D180" i="1"/>
  <c r="F180" i="1" s="1"/>
  <c r="C180" i="1"/>
  <c r="F179" i="1"/>
  <c r="E179" i="1"/>
  <c r="D179" i="1"/>
  <c r="C179" i="1"/>
  <c r="F178" i="1"/>
  <c r="E178" i="1"/>
  <c r="D178" i="1"/>
  <c r="C178" i="1"/>
  <c r="E177" i="1"/>
  <c r="D177" i="1"/>
  <c r="F177" i="1" s="1"/>
  <c r="C177" i="1"/>
  <c r="F176" i="1"/>
  <c r="E176" i="1"/>
  <c r="D176" i="1"/>
  <c r="C176" i="1"/>
  <c r="F175" i="1"/>
  <c r="E175" i="1"/>
  <c r="D175" i="1"/>
  <c r="C175" i="1"/>
  <c r="E174" i="1"/>
  <c r="D174" i="1"/>
  <c r="F174" i="1" s="1"/>
  <c r="C174" i="1"/>
  <c r="F173" i="1"/>
  <c r="E173" i="1"/>
  <c r="D173" i="1"/>
  <c r="C173" i="1"/>
  <c r="F172" i="1"/>
  <c r="E172" i="1"/>
  <c r="D172" i="1"/>
  <c r="C172" i="1"/>
  <c r="F171" i="1"/>
  <c r="E171" i="1"/>
  <c r="D171" i="1"/>
  <c r="C171" i="1"/>
  <c r="F170" i="1"/>
  <c r="E170" i="1"/>
  <c r="D170" i="1"/>
  <c r="C170" i="1"/>
  <c r="F169" i="1"/>
  <c r="E169" i="1"/>
  <c r="D169" i="1"/>
  <c r="C169" i="1"/>
  <c r="E168" i="1"/>
  <c r="D168" i="1"/>
  <c r="F168" i="1" s="1"/>
  <c r="C168" i="1"/>
  <c r="F167" i="1"/>
  <c r="E167" i="1"/>
  <c r="D167" i="1"/>
  <c r="C167" i="1"/>
  <c r="F166" i="1"/>
  <c r="E166" i="1"/>
  <c r="D166" i="1"/>
  <c r="C166" i="1"/>
  <c r="E165" i="1"/>
  <c r="D165" i="1"/>
  <c r="F165" i="1" s="1"/>
  <c r="C165" i="1"/>
  <c r="F164" i="1"/>
  <c r="E164" i="1"/>
  <c r="D164" i="1"/>
  <c r="C164" i="1"/>
  <c r="F163" i="1"/>
  <c r="E163" i="1"/>
  <c r="D163" i="1"/>
  <c r="C163" i="1"/>
  <c r="E162" i="1"/>
  <c r="D162" i="1"/>
  <c r="F162" i="1" s="1"/>
  <c r="C162" i="1"/>
  <c r="F161" i="1"/>
  <c r="E161" i="1"/>
  <c r="D161" i="1"/>
  <c r="C161" i="1"/>
  <c r="F160" i="1"/>
  <c r="E160" i="1"/>
  <c r="D160" i="1"/>
  <c r="C160" i="1"/>
  <c r="E159" i="1"/>
  <c r="D159" i="1"/>
  <c r="F159" i="1" s="1"/>
  <c r="C159" i="1"/>
  <c r="F158" i="1"/>
  <c r="E158" i="1"/>
  <c r="D158" i="1"/>
  <c r="C158" i="1"/>
  <c r="F157" i="1"/>
  <c r="E157" i="1"/>
  <c r="D157" i="1"/>
  <c r="C157" i="1"/>
  <c r="E156" i="1"/>
  <c r="D156" i="1"/>
  <c r="F156" i="1" s="1"/>
  <c r="C156" i="1"/>
  <c r="F155" i="1"/>
  <c r="E155" i="1"/>
  <c r="D155" i="1"/>
  <c r="C155" i="1"/>
  <c r="F154" i="1"/>
  <c r="E154" i="1"/>
  <c r="D154" i="1"/>
  <c r="C154" i="1"/>
  <c r="E153" i="1"/>
  <c r="D153" i="1"/>
  <c r="F153" i="1" s="1"/>
  <c r="C153" i="1"/>
  <c r="F152" i="1"/>
  <c r="E152" i="1"/>
  <c r="D152" i="1"/>
  <c r="C152" i="1"/>
  <c r="F151" i="1"/>
  <c r="E151" i="1"/>
  <c r="D151" i="1"/>
  <c r="C151" i="1"/>
  <c r="E150" i="1"/>
  <c r="D150" i="1"/>
  <c r="F150" i="1" s="1"/>
  <c r="C150" i="1"/>
  <c r="F149" i="1"/>
  <c r="E149" i="1"/>
  <c r="D149" i="1"/>
  <c r="C149" i="1"/>
  <c r="F148" i="1"/>
  <c r="E148" i="1"/>
  <c r="D148" i="1"/>
  <c r="C148" i="1"/>
  <c r="E147" i="1"/>
  <c r="D147" i="1"/>
  <c r="F147" i="1" s="1"/>
  <c r="C147" i="1"/>
  <c r="F146" i="1"/>
  <c r="E146" i="1"/>
  <c r="D146" i="1"/>
  <c r="C146" i="1"/>
  <c r="F145" i="1"/>
  <c r="E145" i="1"/>
  <c r="D145" i="1"/>
  <c r="C145" i="1"/>
  <c r="E144" i="1"/>
  <c r="D144" i="1"/>
  <c r="F144" i="1" s="1"/>
  <c r="C144" i="1"/>
  <c r="F143" i="1"/>
  <c r="E143" i="1"/>
  <c r="D143" i="1"/>
  <c r="C143" i="1"/>
  <c r="F142" i="1"/>
  <c r="E142" i="1"/>
  <c r="D142" i="1"/>
  <c r="C142" i="1"/>
  <c r="E141" i="1"/>
  <c r="D141" i="1"/>
  <c r="F141" i="1" s="1"/>
  <c r="C141" i="1"/>
  <c r="F140" i="1"/>
  <c r="E140" i="1"/>
  <c r="D140" i="1"/>
  <c r="C140" i="1"/>
  <c r="F139" i="1"/>
  <c r="E139" i="1"/>
  <c r="D139" i="1"/>
  <c r="C139" i="1"/>
  <c r="E138" i="1"/>
  <c r="D138" i="1"/>
  <c r="F138" i="1" s="1"/>
  <c r="C138" i="1"/>
  <c r="F137" i="1"/>
  <c r="E137" i="1"/>
  <c r="D137" i="1"/>
  <c r="C137" i="1"/>
  <c r="F136" i="1"/>
  <c r="E136" i="1"/>
  <c r="D136" i="1"/>
  <c r="C136" i="1"/>
  <c r="E135" i="1"/>
  <c r="D135" i="1"/>
  <c r="F135" i="1" s="1"/>
  <c r="C135" i="1"/>
  <c r="F134" i="1"/>
  <c r="E134" i="1"/>
  <c r="D134" i="1"/>
  <c r="C134" i="1"/>
  <c r="F133" i="1"/>
  <c r="E133" i="1"/>
  <c r="D133" i="1"/>
  <c r="C133" i="1"/>
  <c r="E132" i="1"/>
  <c r="D132" i="1"/>
  <c r="F132" i="1" s="1"/>
  <c r="C132" i="1"/>
  <c r="F131" i="1"/>
  <c r="E131" i="1"/>
  <c r="D131" i="1"/>
  <c r="C131" i="1"/>
  <c r="F130" i="1"/>
  <c r="E130" i="1"/>
  <c r="D130" i="1"/>
  <c r="C130" i="1"/>
  <c r="E129" i="1"/>
  <c r="D129" i="1"/>
  <c r="F129" i="1" s="1"/>
  <c r="C129" i="1"/>
  <c r="F128" i="1"/>
  <c r="E128" i="1"/>
  <c r="D128" i="1"/>
  <c r="C128" i="1"/>
  <c r="F127" i="1"/>
  <c r="E127" i="1"/>
  <c r="D127" i="1"/>
  <c r="C127" i="1"/>
  <c r="E126" i="1"/>
  <c r="D126" i="1"/>
  <c r="F126" i="1" s="1"/>
  <c r="C126" i="1"/>
  <c r="F125" i="1"/>
  <c r="E125" i="1"/>
  <c r="D125" i="1"/>
  <c r="C125" i="1"/>
  <c r="F124" i="1"/>
  <c r="E124" i="1"/>
  <c r="D124" i="1"/>
  <c r="C124" i="1"/>
  <c r="E123" i="1"/>
  <c r="D123" i="1"/>
  <c r="F123" i="1" s="1"/>
  <c r="C123" i="1"/>
  <c r="F122" i="1"/>
  <c r="E122" i="1"/>
  <c r="D122" i="1"/>
  <c r="C122" i="1"/>
  <c r="F121" i="1"/>
  <c r="E121" i="1"/>
  <c r="D121" i="1"/>
  <c r="C121" i="1"/>
  <c r="E120" i="1"/>
  <c r="D120" i="1"/>
  <c r="F120" i="1" s="1"/>
  <c r="C120" i="1"/>
  <c r="F119" i="1"/>
  <c r="E119" i="1"/>
  <c r="D119" i="1"/>
  <c r="C119" i="1"/>
  <c r="F118" i="1"/>
  <c r="E118" i="1"/>
  <c r="D118" i="1"/>
  <c r="C118" i="1"/>
  <c r="E117" i="1"/>
  <c r="D117" i="1"/>
  <c r="F117" i="1" s="1"/>
  <c r="C117" i="1"/>
  <c r="F116" i="1"/>
  <c r="E116" i="1"/>
  <c r="D116" i="1"/>
  <c r="C116" i="1"/>
  <c r="F115" i="1"/>
  <c r="E115" i="1"/>
  <c r="D115" i="1"/>
  <c r="C115" i="1"/>
  <c r="E114" i="1"/>
  <c r="D114" i="1"/>
  <c r="F114" i="1" s="1"/>
  <c r="C114" i="1"/>
  <c r="F113" i="1"/>
  <c r="E113" i="1"/>
  <c r="D113" i="1"/>
  <c r="C113" i="1"/>
  <c r="F112" i="1"/>
  <c r="E112" i="1"/>
  <c r="D112" i="1"/>
  <c r="C112" i="1"/>
  <c r="E111" i="1"/>
  <c r="D111" i="1"/>
  <c r="F111" i="1" s="1"/>
  <c r="C111" i="1"/>
  <c r="F110" i="1"/>
  <c r="E110" i="1"/>
  <c r="D110" i="1"/>
  <c r="C110" i="1"/>
  <c r="F109" i="1"/>
  <c r="E109" i="1"/>
  <c r="D109" i="1"/>
  <c r="C109" i="1"/>
  <c r="E108" i="1"/>
  <c r="D108" i="1"/>
  <c r="F108" i="1" s="1"/>
  <c r="C108" i="1"/>
  <c r="F107" i="1"/>
  <c r="E107" i="1"/>
  <c r="D107" i="1"/>
  <c r="C107" i="1"/>
  <c r="F106" i="1"/>
  <c r="E106" i="1"/>
  <c r="D106" i="1"/>
  <c r="C106" i="1"/>
  <c r="E105" i="1"/>
  <c r="D105" i="1"/>
  <c r="F105" i="1" s="1"/>
  <c r="C105" i="1"/>
  <c r="F104" i="1"/>
  <c r="E104" i="1"/>
  <c r="D104" i="1"/>
  <c r="C104" i="1"/>
  <c r="F103" i="1"/>
  <c r="E103" i="1"/>
  <c r="D103" i="1"/>
  <c r="C103" i="1"/>
  <c r="E102" i="1"/>
  <c r="D102" i="1"/>
  <c r="F102" i="1" s="1"/>
  <c r="C102" i="1"/>
  <c r="F101" i="1"/>
  <c r="E101" i="1"/>
  <c r="D101" i="1"/>
  <c r="C101" i="1"/>
  <c r="F100" i="1"/>
  <c r="E100" i="1"/>
  <c r="D100" i="1"/>
  <c r="C100" i="1"/>
  <c r="E99" i="1"/>
  <c r="D99" i="1"/>
  <c r="F99" i="1" s="1"/>
  <c r="C99" i="1"/>
  <c r="F98" i="1"/>
  <c r="E98" i="1"/>
  <c r="D98" i="1"/>
  <c r="C98" i="1"/>
  <c r="F97" i="1"/>
  <c r="E97" i="1"/>
  <c r="D97" i="1"/>
  <c r="C97" i="1"/>
  <c r="E96" i="1"/>
  <c r="D96" i="1"/>
  <c r="F96" i="1" s="1"/>
  <c r="C96" i="1"/>
  <c r="F95" i="1"/>
  <c r="E95" i="1"/>
  <c r="D95" i="1"/>
  <c r="C95" i="1"/>
  <c r="F94" i="1"/>
  <c r="E94" i="1"/>
  <c r="D94" i="1"/>
  <c r="C94" i="1"/>
  <c r="E93" i="1"/>
  <c r="D93" i="1"/>
  <c r="F93" i="1" s="1"/>
  <c r="C93" i="1"/>
  <c r="F92" i="1"/>
  <c r="E92" i="1"/>
  <c r="D92" i="1"/>
  <c r="C92" i="1"/>
  <c r="F91" i="1"/>
  <c r="E91" i="1"/>
  <c r="D91" i="1"/>
  <c r="C91" i="1"/>
  <c r="E90" i="1"/>
  <c r="D90" i="1"/>
  <c r="F90" i="1" s="1"/>
  <c r="C90" i="1"/>
  <c r="F89" i="1"/>
  <c r="E89" i="1"/>
  <c r="D89" i="1"/>
  <c r="C89" i="1"/>
  <c r="F88" i="1"/>
  <c r="E88" i="1"/>
  <c r="D88" i="1"/>
  <c r="C88" i="1"/>
  <c r="E87" i="1"/>
  <c r="D87" i="1"/>
  <c r="F87" i="1" s="1"/>
  <c r="C87" i="1"/>
  <c r="F86" i="1"/>
  <c r="E86" i="1"/>
  <c r="D86" i="1"/>
  <c r="C86" i="1"/>
  <c r="F85" i="1"/>
  <c r="E85" i="1"/>
  <c r="D85" i="1"/>
  <c r="C85" i="1"/>
  <c r="E84" i="1"/>
  <c r="D84" i="1"/>
  <c r="F84" i="1" s="1"/>
  <c r="C84" i="1"/>
  <c r="F83" i="1"/>
  <c r="E83" i="1"/>
  <c r="D83" i="1"/>
  <c r="C83" i="1"/>
  <c r="F82" i="1"/>
  <c r="E82" i="1"/>
  <c r="D82" i="1"/>
  <c r="C82" i="1"/>
  <c r="E81" i="1"/>
  <c r="D81" i="1"/>
  <c r="F81" i="1" s="1"/>
  <c r="C81" i="1"/>
  <c r="F80" i="1"/>
  <c r="E80" i="1"/>
  <c r="D80" i="1"/>
  <c r="C80" i="1"/>
  <c r="F79" i="1"/>
  <c r="E79" i="1"/>
  <c r="D79" i="1"/>
  <c r="C79" i="1"/>
  <c r="E78" i="1"/>
  <c r="D78" i="1"/>
  <c r="F78" i="1" s="1"/>
  <c r="C78" i="1"/>
  <c r="F77" i="1"/>
  <c r="E77" i="1"/>
  <c r="D77" i="1"/>
  <c r="C77" i="1"/>
  <c r="F76" i="1"/>
  <c r="E76" i="1"/>
  <c r="D76" i="1"/>
  <c r="C76" i="1"/>
  <c r="E75" i="1"/>
  <c r="D75" i="1"/>
  <c r="F75" i="1" s="1"/>
  <c r="C75" i="1"/>
  <c r="F74" i="1"/>
  <c r="E74" i="1"/>
  <c r="D74" i="1"/>
  <c r="C74" i="1"/>
  <c r="F73" i="1"/>
  <c r="E73" i="1"/>
  <c r="D73" i="1"/>
  <c r="C73" i="1"/>
  <c r="E72" i="1"/>
  <c r="D72" i="1"/>
  <c r="F72" i="1" s="1"/>
  <c r="C72" i="1"/>
  <c r="F71" i="1"/>
  <c r="E71" i="1"/>
  <c r="D71" i="1"/>
  <c r="C71" i="1"/>
  <c r="F70" i="1"/>
  <c r="E70" i="1"/>
  <c r="D70" i="1"/>
  <c r="C70" i="1"/>
  <c r="E69" i="1"/>
  <c r="D69" i="1"/>
  <c r="F69" i="1" s="1"/>
  <c r="C69" i="1"/>
  <c r="F68" i="1"/>
  <c r="E68" i="1"/>
  <c r="D68" i="1"/>
  <c r="C68" i="1"/>
  <c r="F67" i="1"/>
  <c r="E67" i="1"/>
  <c r="D67" i="1"/>
  <c r="C67" i="1"/>
  <c r="E66" i="1"/>
  <c r="D66" i="1"/>
  <c r="F66" i="1" s="1"/>
  <c r="C66" i="1"/>
  <c r="F65" i="1"/>
  <c r="E65" i="1"/>
  <c r="D65" i="1"/>
  <c r="C65" i="1"/>
  <c r="F64" i="1"/>
  <c r="E64" i="1"/>
  <c r="D64" i="1"/>
  <c r="C64" i="1"/>
  <c r="E63" i="1"/>
  <c r="D63" i="1"/>
  <c r="F63" i="1" s="1"/>
  <c r="C63" i="1"/>
  <c r="F62" i="1"/>
  <c r="E62" i="1"/>
  <c r="D62" i="1"/>
  <c r="C62" i="1"/>
  <c r="F61" i="1"/>
  <c r="E61" i="1"/>
  <c r="D61" i="1"/>
  <c r="C61" i="1"/>
  <c r="E60" i="1"/>
  <c r="D60" i="1"/>
  <c r="F60" i="1" s="1"/>
  <c r="C60" i="1"/>
  <c r="F59" i="1"/>
  <c r="E59" i="1"/>
  <c r="D59" i="1"/>
  <c r="C59" i="1"/>
  <c r="F58" i="1"/>
  <c r="E58" i="1"/>
  <c r="D58" i="1"/>
  <c r="C58" i="1"/>
  <c r="E57" i="1"/>
  <c r="D57" i="1"/>
  <c r="F57" i="1" s="1"/>
  <c r="C57" i="1"/>
  <c r="F56" i="1"/>
  <c r="E56" i="1"/>
  <c r="D56" i="1"/>
  <c r="C56" i="1"/>
  <c r="F55" i="1"/>
  <c r="E55" i="1"/>
  <c r="D55" i="1"/>
  <c r="C55" i="1"/>
  <c r="E54" i="1"/>
  <c r="D54" i="1"/>
  <c r="F54" i="1" s="1"/>
  <c r="C54" i="1"/>
  <c r="F53" i="1"/>
  <c r="E53" i="1"/>
  <c r="D53" i="1"/>
  <c r="C53" i="1"/>
  <c r="F52" i="1"/>
  <c r="E52" i="1"/>
  <c r="D52" i="1"/>
  <c r="C52" i="1"/>
  <c r="E51" i="1"/>
  <c r="D51" i="1"/>
  <c r="F51" i="1" s="1"/>
  <c r="C51" i="1"/>
  <c r="F50" i="1"/>
  <c r="E50" i="1"/>
  <c r="D50" i="1"/>
  <c r="C50" i="1"/>
  <c r="F49" i="1"/>
  <c r="E49" i="1"/>
  <c r="D49" i="1"/>
  <c r="C49" i="1"/>
  <c r="E48" i="1"/>
  <c r="D48" i="1"/>
  <c r="F48" i="1" s="1"/>
  <c r="C48" i="1"/>
  <c r="F47" i="1"/>
  <c r="E47" i="1"/>
  <c r="D47" i="1"/>
  <c r="C47" i="1"/>
  <c r="F46" i="1"/>
  <c r="E46" i="1"/>
  <c r="D46" i="1"/>
  <c r="C46" i="1"/>
  <c r="E45" i="1"/>
  <c r="D45" i="1"/>
  <c r="F45" i="1" s="1"/>
  <c r="C45" i="1"/>
  <c r="F44" i="1"/>
  <c r="E44" i="1"/>
  <c r="D44" i="1"/>
  <c r="C44" i="1"/>
  <c r="F43" i="1"/>
  <c r="E43" i="1"/>
  <c r="D43" i="1"/>
  <c r="C43" i="1"/>
  <c r="E42" i="1"/>
  <c r="D42" i="1"/>
  <c r="F42" i="1" s="1"/>
  <c r="C42" i="1"/>
  <c r="F41" i="1"/>
  <c r="E41" i="1"/>
  <c r="D41" i="1"/>
  <c r="C41" i="1"/>
  <c r="F40" i="1"/>
  <c r="E40" i="1"/>
  <c r="D40" i="1"/>
  <c r="C40" i="1"/>
  <c r="E39" i="1"/>
  <c r="D39" i="1"/>
  <c r="F39" i="1" s="1"/>
  <c r="C39" i="1"/>
  <c r="F38" i="1"/>
  <c r="E38" i="1"/>
  <c r="D38" i="1"/>
  <c r="C38" i="1"/>
  <c r="F37" i="1"/>
  <c r="E37" i="1"/>
  <c r="D37" i="1"/>
  <c r="C37" i="1"/>
  <c r="E36" i="1"/>
  <c r="D36" i="1"/>
  <c r="F36" i="1" s="1"/>
  <c r="C36" i="1"/>
  <c r="F35" i="1"/>
  <c r="E35" i="1"/>
  <c r="D35" i="1"/>
  <c r="C35" i="1"/>
  <c r="F34" i="1"/>
  <c r="E34" i="1"/>
  <c r="D34" i="1"/>
  <c r="C34" i="1"/>
  <c r="E33" i="1"/>
  <c r="D33" i="1"/>
  <c r="F33" i="1" s="1"/>
  <c r="C33" i="1"/>
  <c r="F32" i="1"/>
  <c r="E32" i="1"/>
  <c r="D32" i="1"/>
  <c r="C32" i="1"/>
  <c r="F31" i="1"/>
  <c r="E31" i="1"/>
  <c r="D31" i="1"/>
  <c r="C31" i="1"/>
  <c r="E30" i="1"/>
  <c r="D30" i="1"/>
  <c r="F30" i="1" s="1"/>
  <c r="C30" i="1"/>
  <c r="F29" i="1"/>
  <c r="E29" i="1"/>
  <c r="D29" i="1"/>
  <c r="C29" i="1"/>
  <c r="F28" i="1"/>
  <c r="E28" i="1"/>
  <c r="D28" i="1"/>
  <c r="C28" i="1"/>
  <c r="E27" i="1"/>
  <c r="D27" i="1"/>
  <c r="F27" i="1" s="1"/>
  <c r="C27" i="1"/>
  <c r="F26" i="1"/>
  <c r="E26" i="1"/>
  <c r="D26" i="1"/>
  <c r="C26" i="1"/>
  <c r="F25" i="1"/>
  <c r="E25" i="1"/>
  <c r="D25" i="1"/>
  <c r="C25" i="1"/>
  <c r="E24" i="1"/>
  <c r="D24" i="1"/>
  <c r="F24" i="1" s="1"/>
  <c r="C24" i="1"/>
  <c r="F23" i="1"/>
  <c r="E23" i="1"/>
  <c r="D23" i="1"/>
  <c r="C23" i="1"/>
  <c r="F22" i="1"/>
  <c r="E22" i="1"/>
  <c r="D22" i="1"/>
  <c r="C22" i="1"/>
  <c r="E21" i="1"/>
  <c r="D21" i="1"/>
  <c r="F21" i="1" s="1"/>
  <c r="C21" i="1"/>
  <c r="F20" i="1"/>
  <c r="E20" i="1"/>
  <c r="D20" i="1"/>
  <c r="C20" i="1"/>
  <c r="F19" i="1"/>
  <c r="E19" i="1"/>
  <c r="D19" i="1"/>
  <c r="C19" i="1"/>
  <c r="E18" i="1"/>
  <c r="D18" i="1"/>
  <c r="F18" i="1" s="1"/>
  <c r="C18" i="1"/>
  <c r="F17" i="1"/>
  <c r="E17" i="1"/>
  <c r="D17" i="1"/>
  <c r="C17" i="1"/>
  <c r="F16" i="1"/>
  <c r="E16" i="1"/>
  <c r="D16" i="1"/>
  <c r="C16" i="1"/>
  <c r="E15" i="1"/>
  <c r="D15" i="1"/>
  <c r="F15" i="1" s="1"/>
  <c r="C15" i="1"/>
  <c r="F14" i="1"/>
  <c r="E14" i="1"/>
  <c r="D14" i="1"/>
  <c r="C14" i="1"/>
  <c r="F13" i="1"/>
  <c r="E13" i="1"/>
  <c r="D13" i="1"/>
  <c r="C13" i="1"/>
  <c r="E12" i="1"/>
  <c r="D12" i="1"/>
  <c r="F12" i="1" s="1"/>
  <c r="C12" i="1"/>
  <c r="F11" i="1"/>
  <c r="E11" i="1"/>
  <c r="D11" i="1"/>
  <c r="C11" i="1"/>
  <c r="F10" i="1"/>
  <c r="E10" i="1"/>
  <c r="D10" i="1"/>
  <c r="C10" i="1"/>
  <c r="E9" i="1"/>
  <c r="D9" i="1"/>
  <c r="F9" i="1" s="1"/>
  <c r="C9" i="1"/>
  <c r="F8" i="1"/>
  <c r="E8" i="1"/>
  <c r="D8" i="1"/>
  <c r="C8" i="1"/>
  <c r="F7" i="1"/>
  <c r="E7" i="1"/>
  <c r="D7" i="1"/>
  <c r="C7" i="1"/>
  <c r="E6" i="1"/>
  <c r="D6" i="1"/>
  <c r="F6" i="1" s="1"/>
  <c r="C6" i="1"/>
  <c r="F5" i="1"/>
  <c r="E5" i="1"/>
  <c r="D5" i="1"/>
  <c r="C5" i="1"/>
  <c r="F4" i="1"/>
  <c r="E4" i="1"/>
  <c r="D4" i="1"/>
  <c r="C4" i="1"/>
  <c r="E3" i="1"/>
  <c r="D3" i="1"/>
  <c r="F3" i="1" s="1"/>
  <c r="C3" i="1"/>
  <c r="F2" i="1"/>
  <c r="E2" i="1"/>
  <c r="D2" i="1"/>
  <c r="C2" i="1"/>
  <c r="F1" i="1"/>
  <c r="E1" i="1"/>
  <c r="D1" i="1"/>
  <c r="C1" i="1"/>
</calcChain>
</file>

<file path=xl/sharedStrings.xml><?xml version="1.0" encoding="utf-8"?>
<sst xmlns="http://schemas.openxmlformats.org/spreadsheetml/2006/main" count="1524" uniqueCount="1249">
  <si>
    <t>@accordproject/concerto-analysis@v3.24.1</t>
  </si>
  <si>
    <t>@accordproject/concerto-linter@v3.24.1</t>
  </si>
  <si>
    <t>@accordproject/concerto-linter-default-ruleset@v3.24.1</t>
  </si>
  <si>
    <t>@accordproject/concerto-metamodel@v3.12.5</t>
  </si>
  <si>
    <t>@accordproject/concerto-types@v3.24.1</t>
  </si>
  <si>
    <t>@accordproject/markdown-it-cicero@v0.16.26</t>
  </si>
  <si>
    <t>@accordproject/template-engine@v2.7.2</t>
  </si>
  <si>
    <t>@actbase/css-to-react-native-transform@v1.0.3</t>
  </si>
  <si>
    <t>@actbase/native@v0.1.32</t>
  </si>
  <si>
    <t>@actbase/node-server@v1.1.19</t>
  </si>
  <si>
    <t>@actbase/react-absolute@v0.8.3</t>
  </si>
  <si>
    <t>@actbase/react-daum-postcode@v1.0.5</t>
  </si>
  <si>
    <t>@actbase/react-kakaosdk@v0.9.27</t>
  </si>
  <si>
    <t>@actbase/react-native-actionsheet@v1.0.3</t>
  </si>
  <si>
    <t>@actbase/react-native-devtools@v0.1.3</t>
  </si>
  <si>
    <t>@actbase/react-native-fast-image@v8.5.13</t>
  </si>
  <si>
    <t>@actbase/react-native-kakao-channel@v1.0.2</t>
  </si>
  <si>
    <t>@actbase/react-native-kakao-navi@v2.0.4</t>
  </si>
  <si>
    <t>@actbase/react-native-less-transformer@v1.0.6</t>
  </si>
  <si>
    <t>@actbase/react-native-naver-login@v1.0.1</t>
  </si>
  <si>
    <t>@actbase/react-native-simple-video@v1.0.13</t>
  </si>
  <si>
    <t>@actbase/react-native-tiktok@v1.1.3</t>
  </si>
  <si>
    <t>20 September Shai Hulud + Crowdstrike + Mass Exploit - Consolidation</t>
  </si>
  <si>
    <t>@afetcan/api@v0.0.13</t>
  </si>
  <si>
    <t>@afetcan/storage@v0.0.27</t>
  </si>
  <si>
    <t>@alaan/s2s-auth@v2.0.3</t>
  </si>
  <si>
    <t>@alexadark/amadeus-api@v1.0.4</t>
  </si>
  <si>
    <t>@alexadark/gatsby-theme-events@v1.0.1</t>
  </si>
  <si>
    <t>@alexadark/gatsby-theme-wordpress-blog@v2.0.1</t>
  </si>
  <si>
    <t>@alexadark/reusable-functions@v1.5.1</t>
  </si>
  <si>
    <t>@antstackio/eslint-config-antstack@v0.0.3</t>
  </si>
  <si>
    <t>@antstackio/express-graphql-proxy@v0.2.8</t>
  </si>
  <si>
    <t>@antstackio/graphql-body-parser@v0.1.1</t>
  </si>
  <si>
    <t>@antstackio/json-to-graphql@v1.0.3</t>
  </si>
  <si>
    <t>@antstackio/shelbysam@v1.1.7</t>
  </si>
  <si>
    <t>@aryanhussain/my-angular-lib@v0.0.23</t>
  </si>
  <si>
    <t>@asyncapi/avro-schema-parser@v3.0.25</t>
  </si>
  <si>
    <t>@asyncapi/avro-schema-parser@v3.0.26</t>
  </si>
  <si>
    <t>@asyncapi/bundler@v0.6.6</t>
  </si>
  <si>
    <t>@asyncapi/cli@v4.1.2</t>
  </si>
  <si>
    <t>@asyncapi/cli@v4.1.3</t>
  </si>
  <si>
    <t>@asyncapi/converter@v1.6.3</t>
  </si>
  <si>
    <t>@asyncapi/converter@v1.6.4</t>
  </si>
  <si>
    <t>@asyncapi/diff@v0.5.1</t>
  </si>
  <si>
    <t>@asyncapi/diff@v0.5.2</t>
  </si>
  <si>
    <t>@asyncapi/dotnet-rabbitmq-template@v1.0.1</t>
  </si>
  <si>
    <t>@asyncapi/dotnet-rabbitmq-template@v1.0.2</t>
  </si>
  <si>
    <t>@asyncapi/edavisualiser@v1.2.1</t>
  </si>
  <si>
    <t>@asyncapi/edavisualiser@v1.2.2</t>
  </si>
  <si>
    <t>@asyncapi/generator@v2.8.5</t>
  </si>
  <si>
    <t>@asyncapi/generator@v2.8.6</t>
  </si>
  <si>
    <t>@asyncapi/generator-components@v0.3.2</t>
  </si>
  <si>
    <t>@asyncapi/generator-components@v0.3.3</t>
  </si>
  <si>
    <t>@asyncapi/generator-helpers@v0.2.1</t>
  </si>
  <si>
    <t>@asyncapi/generator-helpers@v0.2.2</t>
  </si>
  <si>
    <t>@asyncapi/generator-react-sdk@v1.1.4</t>
  </si>
  <si>
    <t>@asyncapi/generator-react-sdk@v1.1.5</t>
  </si>
  <si>
    <t>@asyncapi/go-watermill-template@v0.2.76</t>
  </si>
  <si>
    <t>@asyncapi/go-watermill-template@v0.2.77</t>
  </si>
  <si>
    <t>@asyncapi/html-template@v3.3.2</t>
  </si>
  <si>
    <t>@asyncapi/html-template@v3.3.3</t>
  </si>
  <si>
    <t>@asyncapi/java-spring-cloud-stream-template@v0.13.5</t>
  </si>
  <si>
    <t>@asyncapi/java-spring-cloud-stream-template@v0.13.6</t>
  </si>
  <si>
    <t>@asyncapi/java-spring-template@v1.6.1</t>
  </si>
  <si>
    <t>@asyncapi/java-spring-template@v1.6.2</t>
  </si>
  <si>
    <t>@asyncapi/java-template@v0.3.5</t>
  </si>
  <si>
    <t>@asyncapi/java-template@v0.3.6</t>
  </si>
  <si>
    <t>@asyncapi/keeper@v0.0.2</t>
  </si>
  <si>
    <t>@asyncapi/keeper@v0.0.3</t>
  </si>
  <si>
    <t>@asyncapi/modelina@v5.10.2</t>
  </si>
  <si>
    <t>@asyncapi/modelina@v5.10.3</t>
  </si>
  <si>
    <t>@asyncapi/modelina-cli@v5.10.2</t>
  </si>
  <si>
    <t>@asyncapi/modelina-cli@v5.10.3</t>
  </si>
  <si>
    <t>@asyncapi/multi-parser@v2.2.1</t>
  </si>
  <si>
    <t>@asyncapi/multi-parser@v2.2.2</t>
  </si>
  <si>
    <t>@asyncapi/nodejs-template@v3.0.5</t>
  </si>
  <si>
    <t>@asyncapi/nodejs-template@v3.0.6</t>
  </si>
  <si>
    <t>@asyncapi/nodejs-ws-template@v0.10.1</t>
  </si>
  <si>
    <t>@asyncapi/nodejs-ws-template@v0.10.2</t>
  </si>
  <si>
    <t>@asyncapi/nunjucks-filters@v2.1.1</t>
  </si>
  <si>
    <t>@asyncapi/nunjucks-filters@v2.1.2</t>
  </si>
  <si>
    <t>@asyncapi/openapi-schema-parser@v3.0.25</t>
  </si>
  <si>
    <t>@asyncapi/openapi-schema-parser@v3.0.26</t>
  </si>
  <si>
    <t>@asyncapi/optimizer@v1.0.5</t>
  </si>
  <si>
    <t>@asyncapi/optimizer@v1.0.6</t>
  </si>
  <si>
    <t>@asyncapi/parser@v3.4.1</t>
  </si>
  <si>
    <t>@asyncapi/parser@v3.4.2</t>
  </si>
  <si>
    <t>@asyncapi/php-template@v0.1.1</t>
  </si>
  <si>
    <t>@asyncapi/php-template@v0.1.2</t>
  </si>
  <si>
    <t>@asyncapi/problem@v1.0.1</t>
  </si>
  <si>
    <t>@asyncapi/problem@v1.0.2</t>
  </si>
  <si>
    <t>@asyncapi/protobuf-schema-parser@v3.5.3</t>
  </si>
  <si>
    <t>@asyncapi/python-paho-template@v0.2.14</t>
  </si>
  <si>
    <t>@asyncapi/python-paho-template@v0.2.15</t>
  </si>
  <si>
    <t>@asyncapi/react-component@v2.6.6</t>
  </si>
  <si>
    <t>@asyncapi/react-component@v2.6.7</t>
  </si>
  <si>
    <t>@asyncapi/server-api@v0.16.24</t>
  </si>
  <si>
    <t>@asyncapi/server-api@v0.16.25</t>
  </si>
  <si>
    <t>@asyncapi/specs@v6.8.3</t>
  </si>
  <si>
    <t>@asyncapi/studio@v1.0.2</t>
  </si>
  <si>
    <t>@asyncapi/studio@v1.0.3</t>
  </si>
  <si>
    <t>@asyncapi/web-component@v2.6.6</t>
  </si>
  <si>
    <t>@asyncapi/web-component@v2.6.7</t>
  </si>
  <si>
    <t>@bdkinc/knex-ibmi@v0.5.7</t>
  </si>
  <si>
    <t>@browserbasehq/bb9@v1.2.21</t>
  </si>
  <si>
    <t>@browserbasehq/director-ai@v1.0.3</t>
  </si>
  <si>
    <t>@browserbasehq/mcp@v2.1.1</t>
  </si>
  <si>
    <t>@browserbasehq/mcp-server-browserbase@v2.4.2</t>
  </si>
  <si>
    <t>@browserbasehq/sdk-functions@v0.0.4</t>
  </si>
  <si>
    <t>@browserbasehq/stagehand@v3.0.4</t>
  </si>
  <si>
    <t>@browserbasehq/stagehand-docs@v1.0.1</t>
  </si>
  <si>
    <t>@caretive/caret-cli@v0.0.2</t>
  </si>
  <si>
    <t>@chtijs/eslint-config@v1.0.1</t>
  </si>
  <si>
    <t>@clausehq/flows-step-httprequest@v0.1.14</t>
  </si>
  <si>
    <t>@clausehq/flows-step-jsontoxml@v0.1.14</t>
  </si>
  <si>
    <t>@clausehq/flows-step-mqtt@v0.1.14</t>
  </si>
  <si>
    <t>@clausehq/flows-step-sendgridemail@v0.1.14</t>
  </si>
  <si>
    <t>@clausehq/flows-step-taskscreateurl@v0.1.14</t>
  </si>
  <si>
    <t>@cllbk/ghl@v1.3.1</t>
  </si>
  <si>
    <t>@commute/bloom@v1.0.3</t>
  </si>
  <si>
    <t>@commute/market-data@v1.0.2</t>
  </si>
  <si>
    <t>@commute/market-data-chartjs@v2.3.1</t>
  </si>
  <si>
    <t>@dev-blinq/ai-qa-logic@v1.0.19</t>
  </si>
  <si>
    <t>@dev-blinq/blinqioclient@v1.0.21</t>
  </si>
  <si>
    <t>@dev-blinq/cucumber_client@v1.0.738</t>
  </si>
  <si>
    <t>@dev-blinq/cucumber-js@v1.0.131</t>
  </si>
  <si>
    <t>@dev-blinq/ui-systems@v1.0.93</t>
  </si>
  <si>
    <t>@ensdomains/address-encoder@v1.1.5</t>
  </si>
  <si>
    <t>@ensdomains/blacklist@v1.0.1</t>
  </si>
  <si>
    <t>@ensdomains/buffer@v0.1.2</t>
  </si>
  <si>
    <t>@ensdomains/ccip-read-cf-worker@v0.0.4</t>
  </si>
  <si>
    <t>@ensdomains/ccip-read-dns-gateway@v0.1.1</t>
  </si>
  <si>
    <t>@ensdomains/ccip-read-router@v0.0.7</t>
  </si>
  <si>
    <t>@ensdomains/ccip-read-worker-viem@v0.0.4</t>
  </si>
  <si>
    <t>@ensdomains/content-hash@v3.0.1</t>
  </si>
  <si>
    <t>@ensdomains/curvearithmetics@v1.0.1</t>
  </si>
  <si>
    <t>@ensdomains/cypress-metamask@v1.2.1</t>
  </si>
  <si>
    <t>@ensdomains/dnsprovejs@v0.5.3</t>
  </si>
  <si>
    <t>@ensdomains/dnssec-oracle-anchors@v0.0.2</t>
  </si>
  <si>
    <t>@ensdomains/dnssecoraclejs@v0.2.9</t>
  </si>
  <si>
    <t>@ensdomains/durin@v0.1.2</t>
  </si>
  <si>
    <t>@ensdomains/durin-middleware@v0.0.2</t>
  </si>
  <si>
    <t>@ensdomains/ens-archived-contracts@v0.0.3</t>
  </si>
  <si>
    <t>@ensdomains/ens-avatar@v1.0.4</t>
  </si>
  <si>
    <t>@ensdomains/ens-contracts@v1.6.1</t>
  </si>
  <si>
    <t>@ensdomains/ens-test-env@v1.0.2</t>
  </si>
  <si>
    <t>@ensdomains/ens-validation@v0.1.1</t>
  </si>
  <si>
    <t>@ensdomains/ensjs@v4.0.3</t>
  </si>
  <si>
    <t>@ensdomains/ensjs-react@v0.0.5</t>
  </si>
  <si>
    <t>@ensdomains/eth-ens-namehash@v2.0.16</t>
  </si>
  <si>
    <t>@ensdomains/hackathon-registrar@v1.0.5</t>
  </si>
  <si>
    <t>@ensdomains/hardhat-chai-matchers-viem@v0.1.15</t>
  </si>
  <si>
    <t>@ensdomains/hardhat-toolbox-viem-extended@v0.0.6</t>
  </si>
  <si>
    <t>@ensdomains/mock@v2.1.52</t>
  </si>
  <si>
    <t>@ensdomains/name-wrapper@v1.0.1</t>
  </si>
  <si>
    <t>@ensdomains/offchain-resolver-contracts@v0.2.2</t>
  </si>
  <si>
    <t>@ensdomains/op-resolver-contracts@v0.0.2</t>
  </si>
  <si>
    <t>@ensdomains/react-ens-address@v0.0.32</t>
  </si>
  <si>
    <t>@ensdomains/renewal@v0.0.13</t>
  </si>
  <si>
    <t>@ensdomains/renewal-widget@v0.1.10</t>
  </si>
  <si>
    <t>@ensdomains/reverse-records@v1.0.1</t>
  </si>
  <si>
    <t>@ensdomains/server-analytics@v0.0.2</t>
  </si>
  <si>
    <t>@ensdomains/solsha1@v0.0.4</t>
  </si>
  <si>
    <t>@ensdomains/subdomain-registrar@v0.2.4</t>
  </si>
  <si>
    <t>@ensdomains/test-utils@v1.3.1</t>
  </si>
  <si>
    <t>@ensdomains/thorin@v0.6.51</t>
  </si>
  <si>
    <t>@ensdomains/ui@v3.4.6</t>
  </si>
  <si>
    <t>@ensdomains/unicode-confusables@v0.1.1</t>
  </si>
  <si>
    <t>@ensdomains/unruggable-gateways@v0.0.3</t>
  </si>
  <si>
    <t>@ensdomains/vite-plugin-i18next-loader@v4.0.4</t>
  </si>
  <si>
    <t>@ensdomains/web3modal@v1.10.2</t>
  </si>
  <si>
    <t>@everreal/react-charts@v2.0.2</t>
  </si>
  <si>
    <t>@faq-component/core@v0.0.4</t>
  </si>
  <si>
    <t>@faq-component/react@v1.0.1</t>
  </si>
  <si>
    <t>@fishingbooker/browser-sync-plugin@v1.0.5</t>
  </si>
  <si>
    <t>@fishingbooker/react-loader@v1.0.7</t>
  </si>
  <si>
    <t>@fishingbooker/react-pagination@v2.0.6</t>
  </si>
  <si>
    <t>@fishingbooker/react-raty@v2.0.1</t>
  </si>
  <si>
    <t>@fishingbooker/react-swiper@v0.1.5</t>
  </si>
  <si>
    <t>@hapheus/n8n-nodes-pgp@v1.5.1</t>
  </si>
  <si>
    <t>@hover-design/core@v0.0.1</t>
  </si>
  <si>
    <t>@hover-design/react@v0.2.1</t>
  </si>
  <si>
    <t>@huntersofbook/auth-vue@v0.4.2</t>
  </si>
  <si>
    <t>@huntersofbook/core@v0.5.1</t>
  </si>
  <si>
    <t>@huntersofbook/core-nuxt@v0.4.2</t>
  </si>
  <si>
    <t>@huntersofbook/form-naiveui@v0.5.1</t>
  </si>
  <si>
    <t>@huntersofbook/i18n@v0.8.2</t>
  </si>
  <si>
    <t>@huntersofbook/ui@v0.5.1</t>
  </si>
  <si>
    <t>@hyperlook/telemetry-sdk@v1.0.19</t>
  </si>
  <si>
    <t>@ifelsedeveloper/protocol-contracts-svm-idl@v0.1.2</t>
  </si>
  <si>
    <t>@ifelsedeveloper/protocol-contracts-svm-idl@v0.1.3</t>
  </si>
  <si>
    <t>@ifings/design-system@v4.9.2</t>
  </si>
  <si>
    <t>@ifings/metatron3@v0.1.5</t>
  </si>
  <si>
    <t>@jayeshsadhwani/telemetry-sdk@v1.0.14</t>
  </si>
  <si>
    <t>@kvytech/cli@v0.0.7</t>
  </si>
  <si>
    <t>@kvytech/components@v0.0.2</t>
  </si>
  <si>
    <t>@kvytech/habbit-e2e-test@v0.0.2</t>
  </si>
  <si>
    <t>@kvytech/medusa-plugin-announcement@v0.0.8</t>
  </si>
  <si>
    <t>@kvytech/medusa-plugin-management@v0.0.5</t>
  </si>
  <si>
    <t>@kvytech/medusa-plugin-newsletter@v0.0.5</t>
  </si>
  <si>
    <t>@kvytech/medusa-plugin-product-reviews@v0.0.9</t>
  </si>
  <si>
    <t>@kvytech/medusa-plugin-promotion@v0.0.2</t>
  </si>
  <si>
    <t>@kvytech/web@v0.0.2</t>
  </si>
  <si>
    <t>@lessondesk/api-client@v9.12.3</t>
  </si>
  <si>
    <t>@lessondesk/babel-preset@v1.0.1</t>
  </si>
  <si>
    <t>@lessondesk/electron-group-api-client@v1.0.3</t>
  </si>
  <si>
    <t>@lessondesk/eslint-config@v1.4.2</t>
  </si>
  <si>
    <t>@lessondesk/material-icons@v1.0.3</t>
  </si>
  <si>
    <t>@lessondesk/react-table-context@v2.0.4</t>
  </si>
  <si>
    <t>@livecms/live-edit@v0.0.32</t>
  </si>
  <si>
    <t>@livecms/nuxt-live-edit@v1.9.2</t>
  </si>
  <si>
    <t>@lokeswari-satyanarayanan/rn-zustand-expo-template@v1.0.9</t>
  </si>
  <si>
    <t>@louisle2/core@v1.0.1</t>
  </si>
  <si>
    <t>@louisle2/cortex-js@v0.1.6</t>
  </si>
  <si>
    <t>@lpdjs/firestore-repo-service@v1.0.1</t>
  </si>
  <si>
    <t>@lui-ui/lui-nuxt@v0.1.1</t>
  </si>
  <si>
    <t>@lui-ui/lui-tailwindcss@v0.1.2</t>
  </si>
  <si>
    <t>@lui-ui/lui-vue@v1.0.13</t>
  </si>
  <si>
    <t>@micado-digital/stadtmarketing-kufstein-external@v1.9.1</t>
  </si>
  <si>
    <t>@mizzle-dev/orm@v0.0.2</t>
  </si>
  <si>
    <t>@ntnx/passport-wso2@v0.0.3</t>
  </si>
  <si>
    <t>@ntnx/t@v0.0.101</t>
  </si>
  <si>
    <t>@oku-ui/accordion@v0.6.2</t>
  </si>
  <si>
    <t>@oku-ui/alert-dialog@v0.6.2</t>
  </si>
  <si>
    <t>@oku-ui/arrow@v0.6.2</t>
  </si>
  <si>
    <t>@oku-ui/aspect-ratio@v0.6.2</t>
  </si>
  <si>
    <t>@oku-ui/avatar@v0.6.2</t>
  </si>
  <si>
    <t>@oku-ui/checkbox@v0.6.3</t>
  </si>
  <si>
    <t>@oku-ui/collapsible@v0.6.2</t>
  </si>
  <si>
    <t>@oku-ui/collection@v0.6.2</t>
  </si>
  <si>
    <t>@oku-ui/dialog@v0.6.2</t>
  </si>
  <si>
    <t>@oku-ui/direction@v0.6.2</t>
  </si>
  <si>
    <t>@oku-ui/dismissable-layer@v0.6.2</t>
  </si>
  <si>
    <t>@oku-ui/focus-guards@v0.6.2</t>
  </si>
  <si>
    <t>@oku-ui/focus-scope@v0.6.2</t>
  </si>
  <si>
    <t>@oku-ui/hover-card@v0.6.2</t>
  </si>
  <si>
    <t>@oku-ui/label@v0.6.2</t>
  </si>
  <si>
    <t>@oku-ui/menu@v0.6.2</t>
  </si>
  <si>
    <t>@oku-ui/motion@v0.4.4</t>
  </si>
  <si>
    <t>@oku-ui/motion-nuxt@v0.2.2</t>
  </si>
  <si>
    <t>@oku-ui/popover@v0.6.2</t>
  </si>
  <si>
    <t>@oku-ui/popper@v0.6.2</t>
  </si>
  <si>
    <t>@oku-ui/portal@v0.6.2</t>
  </si>
  <si>
    <t>@oku-ui/presence@v0.6.2</t>
  </si>
  <si>
    <t>@oku-ui/primitive@v0.6.2</t>
  </si>
  <si>
    <t>@oku-ui/primitives@v0.7.9</t>
  </si>
  <si>
    <t>@oku-ui/primitives-nuxt@v0.3.1</t>
  </si>
  <si>
    <t>@oku-ui/progress@v0.6.2</t>
  </si>
  <si>
    <t>@oku-ui/provide@v0.6.2</t>
  </si>
  <si>
    <t>@oku-ui/radio-group@v0.6.2</t>
  </si>
  <si>
    <t>@oku-ui/roving-focus@v0.6.2</t>
  </si>
  <si>
    <t>@oku-ui/scroll-area@v0.6.2</t>
  </si>
  <si>
    <t>@oku-ui/separator@v0.6.2</t>
  </si>
  <si>
    <t>@oku-ui/slider@v0.6.2</t>
  </si>
  <si>
    <t>@oku-ui/slot@v0.6.2</t>
  </si>
  <si>
    <t>@oku-ui/switch@v0.6.2</t>
  </si>
  <si>
    <t>@oku-ui/tabs@v0.6.2</t>
  </si>
  <si>
    <t>@oku-ui/toast@v0.6.2</t>
  </si>
  <si>
    <t>@oku-ui/toggle@v0.6.2</t>
  </si>
  <si>
    <t>@oku-ui/toggle-group@v0.6.2</t>
  </si>
  <si>
    <t>@oku-ui/toolbar@v0.6.2</t>
  </si>
  <si>
    <t>@oku-ui/tooltip@v0.6.2</t>
  </si>
  <si>
    <t>@oku-ui/use-composable@v0.6.2</t>
  </si>
  <si>
    <t>@oku-ui/utils@v0.6.2</t>
  </si>
  <si>
    <t>@oku-ui/visually-hidden@v0.6.2</t>
  </si>
  <si>
    <t>@orbitgtbelgium/mapbox-gl-draw-cut-polygon-mode@v2.0.5</t>
  </si>
  <si>
    <t>@orbitgtbelgium/mapbox-gl-draw-scale-rotate-mode@v1.1.1</t>
  </si>
  <si>
    <t>@orbitgtbelgium/orbit-components@v1.2.9</t>
  </si>
  <si>
    <t>@orbitgtbelgium/time-slider@v1.0.187</t>
  </si>
  <si>
    <t>@osmanekrem/bmad@v1.0.6</t>
  </si>
  <si>
    <t>@osmanekrem/error-handler@v1.2.2</t>
  </si>
  <si>
    <t>@pergel/cli@v0.11.1</t>
  </si>
  <si>
    <t>@pergel/module-box@v0.6.1</t>
  </si>
  <si>
    <t>@pergel/module-graphql@v0.6.1</t>
  </si>
  <si>
    <t>@pergel/module-ui@v0.0.9</t>
  </si>
  <si>
    <t>@pergel/nuxt@v0.25.5</t>
  </si>
  <si>
    <t>@posthog/agent@v1.24.1</t>
  </si>
  <si>
    <t>@posthog/ai@v7.1.2</t>
  </si>
  <si>
    <t>@posthog/automatic-cohorts-plugin@v0.0.8</t>
  </si>
  <si>
    <t>@posthog/bitbucket-release-tracker@v0.0.8</t>
  </si>
  <si>
    <t>@posthog/cli@v0.5.15</t>
  </si>
  <si>
    <t>@posthog/clickhouse@v1.7.1</t>
  </si>
  <si>
    <t>@posthog/core@v1.5.6</t>
  </si>
  <si>
    <t>@posthog/currency-normalization-plugin@v0.0.8</t>
  </si>
  <si>
    <t>@posthog/customerio-plugin@v0.0.8</t>
  </si>
  <si>
    <t>@posthog/databricks-plugin@v0.0.8</t>
  </si>
  <si>
    <t>@posthog/drop-events-on-property-plugin@v0.0.8</t>
  </si>
  <si>
    <t>@posthog/event-sequence-timer-plugin@v0.0.8</t>
  </si>
  <si>
    <t>@posthog/filter-out-plugin@v0.0.8</t>
  </si>
  <si>
    <t>@posthog/first-time-event-tracker@v0.0.8</t>
  </si>
  <si>
    <t>@posthog/geoip-plugin@v0.0.8</t>
  </si>
  <si>
    <t>@posthog/github-release-tracking-plugin@v0.0.8</t>
  </si>
  <si>
    <t>@posthog/gitub-star-sync-plugin@v0.0.8</t>
  </si>
  <si>
    <t>@posthog/heartbeat-plugin@v0.0.8</t>
  </si>
  <si>
    <t>@posthog/hedgehog-mode@v0.0.42</t>
  </si>
  <si>
    <t>@posthog/icons@v0.36.1</t>
  </si>
  <si>
    <t>@posthog/ingestion-alert-plugin@v0.0.8</t>
  </si>
  <si>
    <t>@posthog/intercom-plugin@v0.0.8</t>
  </si>
  <si>
    <t>@posthog/kinesis-plugin@v0.0.8</t>
  </si>
  <si>
    <t>@posthog/laudspeaker-plugin@v0.0.8</t>
  </si>
  <si>
    <t>@posthog/lemon-ui@v0.0.1</t>
  </si>
  <si>
    <t>@posthog/maxmind-plugin@v0.1.6</t>
  </si>
  <si>
    <t>@posthog/migrator3000-plugin@v0.0.8</t>
  </si>
  <si>
    <t>@posthog/netdata-event-processing@v0.0.8</t>
  </si>
  <si>
    <t>@posthog/nextjs@v0.0.3</t>
  </si>
  <si>
    <t>@posthog/nextjs-config@v1.5.1</t>
  </si>
  <si>
    <t>@posthog/nuxt@v1.2.9</t>
  </si>
  <si>
    <t>@posthog/pagerduty-plugin@v0.0.8</t>
  </si>
  <si>
    <t>@posthog/piscina@v3.2.1</t>
  </si>
  <si>
    <t>@posthog/plugin-contrib@v0.0.6</t>
  </si>
  <si>
    <t>@posthog/plugin-server@v1.10.8</t>
  </si>
  <si>
    <t>@posthog/plugin-unduplicates@v0.0.8</t>
  </si>
  <si>
    <t>@posthog/postgres-plugin@v0.0.8</t>
  </si>
  <si>
    <t>@posthog/rrdom@v0.0.31</t>
  </si>
  <si>
    <t>@posthog/rrweb@v0.0.31</t>
  </si>
  <si>
    <t>@posthog/rrweb-player@v0.0.31</t>
  </si>
  <si>
    <t>@posthog/rrweb-record@v0.0.31</t>
  </si>
  <si>
    <t>@posthog/rrweb-replay@v0.0.19</t>
  </si>
  <si>
    <t>@posthog/rrweb-snapshot@v0.0.31</t>
  </si>
  <si>
    <t>@posthog/rrweb-utils@v0.0.31</t>
  </si>
  <si>
    <t>@posthog/sendgrid-plugin@v0.0.8</t>
  </si>
  <si>
    <t>@posthog/siphash@v1.1.2</t>
  </si>
  <si>
    <t>@posthog/snowflake-export-plugin@v0.0.8</t>
  </si>
  <si>
    <t>@posthog/taxonomy-plugin@v0.0.8</t>
  </si>
  <si>
    <t>@posthog/twilio-plugin@v0.0.8</t>
  </si>
  <si>
    <t>@posthog/twitter-followers-plugin@v0.0.8</t>
  </si>
  <si>
    <t>@posthog/url-normalizer-plugin@v0.0.8</t>
  </si>
  <si>
    <t>@posthog/variance-plugin@v0.0.8</t>
  </si>
  <si>
    <t>@posthog/web-dev-server@v1.0.5</t>
  </si>
  <si>
    <t>@posthog/wizard@v1.18.1</t>
  </si>
  <si>
    <t>@posthog/zendesk-plugin@v0.0.8</t>
  </si>
  <si>
    <t>@pradhumngautam/common-app@v1.0.2</t>
  </si>
  <si>
    <t>@productdevbook/animejs-vue@v0.2.1</t>
  </si>
  <si>
    <t>@productdevbook/auth@v0.2.2</t>
  </si>
  <si>
    <t>@productdevbook/chatwoot@v2.0.1</t>
  </si>
  <si>
    <t>@productdevbook/motion@v1.0.4</t>
  </si>
  <si>
    <t>@productdevbook/ts-i18n@v1.4.2</t>
  </si>
  <si>
    <t>@pruthvi21/use-debounce@v1.0.3</t>
  </si>
  <si>
    <t>@quick-start-soft/quick-document-translator@v1.4.2511142126</t>
  </si>
  <si>
    <t>@quick-start-soft/quick-git-clean-markdown@v1.4.2511142126</t>
  </si>
  <si>
    <t>@quick-start-soft/quick-markdown@v1.4.2511142126</t>
  </si>
  <si>
    <t>@quick-start-soft/quick-markdown-compose@v1.4.2506300029</t>
  </si>
  <si>
    <t>@quick-start-soft/quick-markdown-image@v1.4.2511142126</t>
  </si>
  <si>
    <t>@quick-start-soft/quick-markdown-print@v1.4.2511142126</t>
  </si>
  <si>
    <t>@quick-start-soft/quick-markdown-translator@v1.4.2509202331</t>
  </si>
  <si>
    <t>@quick-start-soft/quick-remove-image-background@v1.4.2511142126</t>
  </si>
  <si>
    <t>@quick-start-soft/quick-task-refine@v1.4.2511142126</t>
  </si>
  <si>
    <t>@relyt/claude-context-core@v0.1.1</t>
  </si>
  <si>
    <t>@relyt/claude-context-mcp@v0.1.1</t>
  </si>
  <si>
    <t>@relyt/mcp-server-relytone@v0.0.3</t>
  </si>
  <si>
    <t>@seezo/sdr-mcp-server@v0.0.5</t>
  </si>
  <si>
    <t>@seung-ju/next@v0.0.2</t>
  </si>
  <si>
    <t>@seung-ju/openapi-generator@v0.0.4</t>
  </si>
  <si>
    <t>@seung-ju/react-hooks@v0.0.2</t>
  </si>
  <si>
    <t>@seung-ju/react-native-action-sheet@v0.2.1</t>
  </si>
  <si>
    <t>@silgi/better-auth@v0.8.1</t>
  </si>
  <si>
    <t>@silgi/drizzle@v0.8.4</t>
  </si>
  <si>
    <t>@silgi/ecosystem@v0.7.6</t>
  </si>
  <si>
    <t>@silgi/graphql@v0.7.15</t>
  </si>
  <si>
    <t>@silgi/module-builder@v0.8.8</t>
  </si>
  <si>
    <t>@silgi/openapi@v0.7.4</t>
  </si>
  <si>
    <t>@silgi/permission@v0.6.8</t>
  </si>
  <si>
    <t>@silgi/ratelimit@v0.2.1</t>
  </si>
  <si>
    <t>@silgi/scalar@v0.6.2</t>
  </si>
  <si>
    <t>@silgi/yoga@v0.7.1</t>
  </si>
  <si>
    <t>@sme-ui/aoma-vevasound-metadata-lib@v0.1.3</t>
  </si>
  <si>
    <t>@strapbuild/react-native-date-time-picker@v2.0.4</t>
  </si>
  <si>
    <t>@strapbuild/react-native-perspective-image-cropper@v0.4.15</t>
  </si>
  <si>
    <t>@strapbuild/react-native-perspective-image-cropper-2@v0.4.7</t>
  </si>
  <si>
    <t>@strapbuild/react-native-perspective-image-cropper-poojan31@v0.4.6</t>
  </si>
  <si>
    <t>@suraj_h/medium-common@v1.0.5</t>
  </si>
  <si>
    <t>@thedelta/eslint-config@v1.0.2</t>
  </si>
  <si>
    <t>@trackstar/angular-trackstar-link@v1.0.2</t>
  </si>
  <si>
    <t>@trackstar/react-trackstar-link@v2.0.21</t>
  </si>
  <si>
    <t>@trackstar/react-trackstar-link-upgrade@v1.1.10</t>
  </si>
  <si>
    <t>@trackstar/test-angular-package@v0.0.9</t>
  </si>
  <si>
    <t>@trackstar/test-package@v1.1.5</t>
  </si>
  <si>
    <t>@trefox/sleekshop-js@v0.1.6</t>
  </si>
  <si>
    <t>@trigo/atrix@v7.0.1</t>
  </si>
  <si>
    <t>@trigo/atrix-acl@v4.0.2</t>
  </si>
  <si>
    <t>@trigo/atrix-elasticsearch@v2.0.1</t>
  </si>
  <si>
    <t>@trigo/atrix-mongoose@v1.0.2</t>
  </si>
  <si>
    <t>@trigo/atrix-orientdb@v1.0.2</t>
  </si>
  <si>
    <t>@trigo/atrix-postgres@v1.0.3</t>
  </si>
  <si>
    <t>@trigo/atrix-pubsub@v4.0.3</t>
  </si>
  <si>
    <t>@trigo/atrix-redis@v1.0.2</t>
  </si>
  <si>
    <t>@trigo/atrix-soap@v1.0.2</t>
  </si>
  <si>
    <t>@trigo/atrix-swagger@v3.0.1</t>
  </si>
  <si>
    <t>@trigo/bool-expressions@v4.1.3</t>
  </si>
  <si>
    <t>@trigo/eslint-config-trigo@v3.3.1</t>
  </si>
  <si>
    <t>@trigo/fsm@v3.4.2</t>
  </si>
  <si>
    <t>@trigo/hapi-auth-signedlink@v1.3.1</t>
  </si>
  <si>
    <t>@trigo/jsdt@v0.2.1</t>
  </si>
  <si>
    <t>@trigo/keycloak-api@v1.3.1</t>
  </si>
  <si>
    <t>@trigo/node-soap@v0.5.4</t>
  </si>
  <si>
    <t>@trigo/pathfinder-ui-css@v0.1.1</t>
  </si>
  <si>
    <t>@trigo/trigo-hapijs@v5.0.1</t>
  </si>
  <si>
    <t>@trpc-rate-limiter/cloudflare@v0.1.4</t>
  </si>
  <si>
    <t>@trpc-rate-limiter/hono@v0.1.4</t>
  </si>
  <si>
    <t>@varsityvibe/api-client@v1.3.37</t>
  </si>
  <si>
    <t>@varsityvibe/utils@v5.0.6</t>
  </si>
  <si>
    <t>@viapip/eslint-config@v0.2.4</t>
  </si>
  <si>
    <t>@vishadtyagi/full-year-calendar@v0.1.11</t>
  </si>
  <si>
    <t>@vucod/email@v0.0.3</t>
  </si>
  <si>
    <t>02-echo@v0.0.7</t>
  </si>
  <si>
    <t>ai-crowl-shield@v1.0.7</t>
  </si>
  <si>
    <t>arc-cli-fc@v1.0.1</t>
  </si>
  <si>
    <t>asciitranslator@v1.0.3</t>
  </si>
  <si>
    <t>asyncapi-preview@v1.0.1</t>
  </si>
  <si>
    <t>asyncapi-preview@v1.0.2</t>
  </si>
  <si>
    <t>atrix@v1.0.1</t>
  </si>
  <si>
    <t>atrix-mongoose@v1.0.1</t>
  </si>
  <si>
    <t>automation_model@v1.0.491</t>
  </si>
  <si>
    <t>avvvatars-vue@v1.1.2</t>
  </si>
  <si>
    <t>axios-builder@v1.2.1</t>
  </si>
  <si>
    <t>babel-preset-kinvey-flex-service@v0.1.1</t>
  </si>
  <si>
    <t>benmostyn-frame-print@v1.0.1</t>
  </si>
  <si>
    <t>best_gpio_controller@v1.0.10</t>
  </si>
  <si>
    <t>better-auth-nuxt@v0.0.10</t>
  </si>
  <si>
    <t>better-queue-nedb@v0.1.5</t>
  </si>
  <si>
    <t>blinqio-executions-cli@v1.0.41</t>
  </si>
  <si>
    <t>blob-to-base64@v1.0.3</t>
  </si>
  <si>
    <t>bool-expressions@v0.1.2</t>
  </si>
  <si>
    <t>buffered-interpolation-babylon6@v0.2.8</t>
  </si>
  <si>
    <t>bun-plugin-httpfile@v0.1.1</t>
  </si>
  <si>
    <t>bytes-to-x@v1.0.1</t>
  </si>
  <si>
    <t>calc-loan-interest@v1.0.4</t>
  </si>
  <si>
    <t>capacitor-plugin-apptrackingios@v0.0.21</t>
  </si>
  <si>
    <t>capacitor-plugin-purchase@v0.1.1</t>
  </si>
  <si>
    <t>capacitor-plugin-scgssigninwithgoogle@v0.0.5</t>
  </si>
  <si>
    <t>capacitor-purchase-history@v0.0.10</t>
  </si>
  <si>
    <t>capacitor-voice-recorder-wav@v6.0.3</t>
  </si>
  <si>
    <t>ceviz@v0.0.5</t>
  </si>
  <si>
    <t>claude-token-updater@v1.0.3</t>
  </si>
  <si>
    <t>colors-regex@v2.0.1</t>
  </si>
  <si>
    <t>command-irail@v0.5.4</t>
  </si>
  <si>
    <t>cpu-instructions@v0.0.14</t>
  </si>
  <si>
    <t>create-director-app@v0.1.1</t>
  </si>
  <si>
    <t>create-glee-app@v0.2.2</t>
  </si>
  <si>
    <t>create-glee-app@v0.2.3</t>
  </si>
  <si>
    <t>create-kinvey-flex-service@v0.2.1</t>
  </si>
  <si>
    <t>create-silgi@v0.3.1</t>
  </si>
  <si>
    <t>crypto-addr-codec@v0.1.9</t>
  </si>
  <si>
    <t>css-dedoupe@v0.1.2</t>
  </si>
  <si>
    <t>csv-tool-cli@v1.2.1</t>
  </si>
  <si>
    <t>dashboard-empty-state@v1.0.3</t>
  </si>
  <si>
    <t>designstudiouiux@v1.0.1</t>
  </si>
  <si>
    <t>devstart-cli@v1.0.6</t>
  </si>
  <si>
    <t>discord-bot-server@v0.1.2</t>
  </si>
  <si>
    <t>docusaurus-plugin-vanilla-extract@v1.0.3</t>
  </si>
  <si>
    <t>dont-go@v1.1.2</t>
  </si>
  <si>
    <t>dotnet-template@v0.0.3</t>
  </si>
  <si>
    <t>dotnet-template@v0.0.4</t>
  </si>
  <si>
    <t>drop-events-on-property-plugin@v0.0.2</t>
  </si>
  <si>
    <t>easypanel-sdk@v0.3.2</t>
  </si>
  <si>
    <t>electron-volt@v0.0.2</t>
  </si>
  <si>
    <t>email-deliverability-tester@v1.1.1</t>
  </si>
  <si>
    <t>enforce-branch-name@v1.1.3</t>
  </si>
  <si>
    <t>esbuild-plugin-brotli@v0.2.1</t>
  </si>
  <si>
    <t>esbuild-plugin-eta@v0.1.1</t>
  </si>
  <si>
    <t>esbuild-plugin-httpfile@v0.4.1</t>
  </si>
  <si>
    <t>eslint-config-kinvey-flex-service@v0.1.1</t>
  </si>
  <si>
    <t>eslint-config-nitpicky@v4.0.1</t>
  </si>
  <si>
    <t>eslint-config-trigo@v22.0.2</t>
  </si>
  <si>
    <t>eslint-config-zeallat-base@v1.0.4</t>
  </si>
  <si>
    <t>ethereum-ens@v0.8.1</t>
  </si>
  <si>
    <t>exact-ticker@v0.3.5</t>
  </si>
  <si>
    <t>expo-audio-session@v0.2.1</t>
  </si>
  <si>
    <t>expo-router-on-rails@v0.0.4</t>
  </si>
  <si>
    <t>express-starter-template@v1.0.10</t>
  </si>
  <si>
    <t>expressos@v1.1.3</t>
  </si>
  <si>
    <t>firestore-search-engine@v1.2.3</t>
  </si>
  <si>
    <t>formik-error-focus@v2.0.1</t>
  </si>
  <si>
    <t>formik-store@v1.0.1</t>
  </si>
  <si>
    <t>frontity-starter-theme@v1.0.1</t>
  </si>
  <si>
    <t>gatsby-plugin-antd@v2.2.1</t>
  </si>
  <si>
    <t>generator-meteor-stock@v0.1.6</t>
  </si>
  <si>
    <t>generator-ng-itobuz@v0.0.15</t>
  </si>
  <si>
    <t>get-them-args@v1.3.3</t>
  </si>
  <si>
    <t>github-action-for-generator@v2.1.27</t>
  </si>
  <si>
    <t>github-action-for-generator@v2.1.28</t>
  </si>
  <si>
    <t>gitsafe@v1.0.5</t>
  </si>
  <si>
    <t>go-template@v0.1.8</t>
  </si>
  <si>
    <t>go-template@v0.1.9</t>
  </si>
  <si>
    <t>hope-mapboxdraw@v0.1.1</t>
  </si>
  <si>
    <t>hopedraw@v1.0.3</t>
  </si>
  <si>
    <t>hover-design-prototype@v0.0.5</t>
  </si>
  <si>
    <t>hyper-fullfacing@v1.0.3</t>
  </si>
  <si>
    <t>hyperterm-hipster@v1.0.7</t>
  </si>
  <si>
    <t>ids-css@v1.5.1</t>
  </si>
  <si>
    <t>ids-enterprise-mcp-server@v0.0.2</t>
  </si>
  <si>
    <t>ids-enterprise-ng@v20.1.6</t>
  </si>
  <si>
    <t>ids-enterprise-typings@v20.1.6</t>
  </si>
  <si>
    <t>insomnia-plugin-random-pick@v1.0.4</t>
  </si>
  <si>
    <t>invo@v0.2.2</t>
  </si>
  <si>
    <t>iron-shield-miniapp@v0.0.2</t>
  </si>
  <si>
    <t>ito-button@v8.0.3</t>
  </si>
  <si>
    <t>itobuz-angular@v0.0.1</t>
  </si>
  <si>
    <t>itobuz-angular-auth@v8.0.11</t>
  </si>
  <si>
    <t>itobuz-angular-button@v8.0.11</t>
  </si>
  <si>
    <t>jaetut-varit-test@1.0.2</t>
  </si>
  <si>
    <t>jan-browser@v0.13.1</t>
  </si>
  <si>
    <t>jsonsurge@v1.0.7</t>
  </si>
  <si>
    <t>just-toasty@v1.7.1</t>
  </si>
  <si>
    <t>kinetix-default-token-list@v1.0.5</t>
  </si>
  <si>
    <t>kinvey-cli-wrapper@v0.3.1</t>
  </si>
  <si>
    <t>kinvey-flex-scripts@v0.5.1</t>
  </si>
  <si>
    <t>kns-error-code@v1.0.8</t>
  </si>
  <si>
    <t>korea-administrative-area-geo-json-util@v1.0.7</t>
  </si>
  <si>
    <t>lite-serper-mcp-server@v0.2.2</t>
  </si>
  <si>
    <t>lui-vue-test@v0.70.9</t>
  </si>
  <si>
    <t>luno-api@v1.2.3</t>
  </si>
  <si>
    <t>m25-transaction-utils@v1.1.16</t>
  </si>
  <si>
    <t>manual-billing-system-miniapp-api@v1.3.1</t>
  </si>
  <si>
    <t>medusa-plugin-announcement@v0.0.3</t>
  </si>
  <si>
    <t>medusa-plugin-logs@v0.0.17</t>
  </si>
  <si>
    <t>medusa-plugin-momo@v0.0.68</t>
  </si>
  <si>
    <t>medusa-plugin-product-reviews-kvy@v0.0.4</t>
  </si>
  <si>
    <t>medusa-plugin-zalopay@v0.0.40</t>
  </si>
  <si>
    <t>mod10-check-digit@v1.0.1</t>
  </si>
  <si>
    <t>mon-package-react-typescript@v1.0.1</t>
  </si>
  <si>
    <t>my-saeed-lib@v0.1.1</t>
  </si>
  <si>
    <t>n8n-nodes-tmdb@v0.5.1</t>
  </si>
  <si>
    <t>n8n-nodes-vercel-ai-sdk@v0.1.7</t>
  </si>
  <si>
    <t>n8n-nodes-viral-app@v0.2.5</t>
  </si>
  <si>
    <t>ngx-useful-swiper-prosenjit@v9.0.2</t>
  </si>
  <si>
    <t>ngx-wooapi@v12.0.1</t>
  </si>
  <si>
    <t>nitro-graphql@v1.5.12</t>
  </si>
  <si>
    <t>nitro-kutu@v0.1.1</t>
  </si>
  <si>
    <t>nitrodeploy@v1.0.8</t>
  </si>
  <si>
    <t>nitroping@v0.1.1</t>
  </si>
  <si>
    <t>nuxt-keycloak@v0.2.2</t>
  </si>
  <si>
    <t>okta-react-router-6@v5.0.1</t>
  </si>
  <si>
    <t>open2internet@v0.1.1</t>
  </si>
  <si>
    <t>orbit-boxicons@v2.1.3</t>
  </si>
  <si>
    <t>orbit-nebula-draw-tools@v1.0.10</t>
  </si>
  <si>
    <t>orbit-nebula-editor@v1.0.2</t>
  </si>
  <si>
    <t>orbit-soap@v0.43.13</t>
  </si>
  <si>
    <t>orchestrix@v12.1.2</t>
  </si>
  <si>
    <t>package-tester@v1.0.1</t>
  </si>
  <si>
    <t>pdf-annotation@v0.0.2</t>
  </si>
  <si>
    <t>pergel@v0.13.2</t>
  </si>
  <si>
    <t>pergeltest@v0.0.25</t>
  </si>
  <si>
    <t>piclite@v1.0.1</t>
  </si>
  <si>
    <t>pkg-readme@v1.1.1</t>
  </si>
  <si>
    <t>poper-react-sdk@v0.1.2</t>
  </si>
  <si>
    <t>posthog-docusaurus@v2.0.6</t>
  </si>
  <si>
    <t>posthog-js@v1.297.3</t>
  </si>
  <si>
    <t>posthog-node@v4.18.1 - Java/Maven</t>
  </si>
  <si>
    <t>posthog-plugin-hello-world@v1.0.1</t>
  </si>
  <si>
    <t>prime-one-table@v0.0.19</t>
  </si>
  <si>
    <t>prompt-eng@v1.0.50</t>
  </si>
  <si>
    <t>prompt-eng-server@v1.0.18</t>
  </si>
  <si>
    <t>puny-req@v1.0.3</t>
  </si>
  <si>
    <t>quickswap-default-staking-list@v1.0.11</t>
  </si>
  <si>
    <t>quickswap-default-staking-list-address@v1.0.55</t>
  </si>
  <si>
    <t>quickswap-default-token-list@v1.5.16</t>
  </si>
  <si>
    <t>quickswap-router-sdk@v1.0.1</t>
  </si>
  <si>
    <t>quickswap-sdk@v3.0.44</t>
  </si>
  <si>
    <t>quickswap-smart-order-router@v1.0.1</t>
  </si>
  <si>
    <t>quickswap-token-lists@v1.0.3</t>
  </si>
  <si>
    <t>quickswap-v2-sdk@v2.0.1</t>
  </si>
  <si>
    <t>ra-auth-firebase@v1.0.3</t>
  </si>
  <si>
    <t>react-component-taggers@v0.1.9</t>
  </si>
  <si>
    <t>react-data-to-export@v1.0.1</t>
  </si>
  <si>
    <t>react-element-prompt-inspector@v0.1.18</t>
  </si>
  <si>
    <t>react-favic@v1.0.2</t>
  </si>
  <si>
    <t>react-library-setup@v0.0.6</t>
  </si>
  <si>
    <t>react-linear-loader@v1.0.2</t>
  </si>
  <si>
    <t>react-native-google-maps-directions@v2.1.2</t>
  </si>
  <si>
    <t>react-native-modest-checkbox@v3.3.1</t>
  </si>
  <si>
    <t>react-native-modest-storage@v2.1.1</t>
  </si>
  <si>
    <t>react-native-use-modal@v1.0.3</t>
  </si>
  <si>
    <t>react-native-worklet-functions@v3.3.3</t>
  </si>
  <si>
    <t>react-packery-component@v1.0.3</t>
  </si>
  <si>
    <t>react-qr-image@v1.1.1</t>
  </si>
  <si>
    <t>rediff@v1.0.5</t>
  </si>
  <si>
    <t>rediff-viewer@v0.0.7</t>
  </si>
  <si>
    <t>redux-forge@v2.5.3</t>
  </si>
  <si>
    <t>revenuecat@v1.0.1</t>
  </si>
  <si>
    <t>rollup-plugin-httpfile@v0.2.1</t>
  </si>
  <si>
    <t>samesame@v1.0.3</t>
  </si>
  <si>
    <t>scgs-capacitor-subscribe@v1.0.11</t>
  </si>
  <si>
    <t>scgsffcreator@v1.0.5</t>
  </si>
  <si>
    <t>schob@v1.0.3</t>
  </si>
  <si>
    <t>selenium-session@v1.0.5</t>
  </si>
  <si>
    <t>selenium-session-client@v1.0.4</t>
  </si>
  <si>
    <t>shelf-jwt-sessions@v0.1.2</t>
  </si>
  <si>
    <t>shinhan-limit-scrap@v1.0.3</t>
  </si>
  <si>
    <t>silgi@v0.43.30</t>
  </si>
  <si>
    <t>simplejsonform@v1.0.1</t>
  </si>
  <si>
    <t>solomon-api-stories@v1.0.2</t>
  </si>
  <si>
    <t>solomon-v3-stories@v1.15.6</t>
  </si>
  <si>
    <t>solomon-v3-ui-wrapper@v1.6.1</t>
  </si>
  <si>
    <t>soneium-acs@v1.0.1</t>
  </si>
  <si>
    <t>sort-by-distance@v2.0.1</t>
  </si>
  <si>
    <t>south-african-id-info@v1.0.2</t>
  </si>
  <si>
    <t>stat-fns@v1.0.1</t>
  </si>
  <si>
    <t>stoor@v2.3.2</t>
  </si>
  <si>
    <t>sufetch@v0.4.1</t>
  </si>
  <si>
    <t>super-commit@v1.0.1</t>
  </si>
  <si>
    <t>svelte-autocomplete-select@v1.1.1</t>
  </si>
  <si>
    <t>tanstack-shadcn-table@v1.1.5</t>
  </si>
  <si>
    <t>tavily-module@v1.0.1</t>
  </si>
  <si>
    <t>tcsp@v2.0.2</t>
  </si>
  <si>
    <t>tcsp-draw-test@v1.0.5</t>
  </si>
  <si>
    <t>tcsp-test-vd@v2.4.4</t>
  </si>
  <si>
    <t>test23112222-api@v1.0.1</t>
  </si>
  <si>
    <t>tiaan@v1.0.2</t>
  </si>
  <si>
    <t>tiptap-shadcn-vue@v0.2.1</t>
  </si>
  <si>
    <t>token.js-fork@v0.7.32</t>
  </si>
  <si>
    <t>toonfetch@v0.3.2</t>
  </si>
  <si>
    <t>trigo-react-app@v4.1.2</t>
  </si>
  <si>
    <t>ts-relay-cursor-paging@v2.1.1</t>
  </si>
  <si>
    <t>typeface-antonio-complete@v1.0.5</t>
  </si>
  <si>
    <t>typeorm-orbit@v0.2.27</t>
  </si>
  <si>
    <t>unadapter@v0.1.3</t>
  </si>
  <si>
    <t>unemail@v0.3.1</t>
  </si>
  <si>
    <t>uniswap-router-sdk@v1.6.2</t>
  </si>
  <si>
    <t>uniswap-smart-order-router@v3.16.26</t>
  </si>
  <si>
    <t>uniswap-test-sdk-core@v4.0.8</t>
  </si>
  <si>
    <t>unsearch@v0.0.3</t>
  </si>
  <si>
    <t>uplandui@v0.5.4</t>
  </si>
  <si>
    <t>use-unsaved-changes@v1.0.9</t>
  </si>
  <si>
    <t>v-plausible@v1.2.1</t>
  </si>
  <si>
    <t>valid-south-african-id@v1.0.3</t>
  </si>
  <si>
    <t>valuedex-sdk@v3.0.5</t>
  </si>
  <si>
    <t>vite-plugin-httpfile@v0.2.1</t>
  </si>
  <si>
    <t>vue-browserupdate-nuxt@v1.0.5</t>
  </si>
  <si>
    <t>web-scraper-mcp@v1.1.4</t>
  </si>
  <si>
    <t>web-types-htmx@v0.1.1</t>
  </si>
  <si>
    <t>web-types-lit@v0.1.1</t>
  </si>
  <si>
    <t>webpack-loader-httpfile@v0.2.1</t>
  </si>
  <si>
    <t>wellness-expert-ng-gallery@v5.1.1</t>
  </si>
  <si>
    <t>zuper-cli@v1.0.1</t>
  </si>
  <si>
    <t>zuper-sdk@v1.0.57</t>
  </si>
  <si>
    <t>zuper-stream@v2.0.9</t>
  </si>
  <si>
    <t>@alexcolls/nuxt-socket.io@v0.0.7</t>
  </si>
  <si>
    <t>@alexcolls/nuxt-socket.io@v0.0.8</t>
  </si>
  <si>
    <t>@alexcolls/nuxt-ux@v0.6.1</t>
  </si>
  <si>
    <t>@alexcolls/nuxt-ux@v0.6.2</t>
  </si>
  <si>
    <t>@asyncapi/bundler@v0.6.5</t>
  </si>
  <si>
    <t>@asyncapi/markdown-template@v1.6.8</t>
  </si>
  <si>
    <t>@asyncapi/markdown-template@v1.6.9</t>
  </si>
  <si>
    <t>@asyncapi/protobuf-schema-parser@v3.5.2</t>
  </si>
  <si>
    <t>@asyncapi/protobuf-schema-parser@v3.6.1</t>
  </si>
  <si>
    <t>@asyncapi/specs@v6.8.2</t>
  </si>
  <si>
    <t>@asyncapi/specs@v6.9.1</t>
  </si>
  <si>
    <t>@asyncapi/specs@v6.10.1</t>
  </si>
  <si>
    <t>@everreal/validate-esmoduleinterop-imports@v1.4.4</t>
  </si>
  <si>
    <t>@everreal/validate-esmoduleinterop-imports@v1.4.5</t>
  </si>
  <si>
    <t>@everreal/web-analytics@v0.0.1</t>
  </si>
  <si>
    <t>@everreal/web-analytics@v0.0.2</t>
  </si>
  <si>
    <t>@lessondesk/schoolbus@v5.2.2</t>
  </si>
  <si>
    <t>@lessondesk/schoolbus@v5.2.3</t>
  </si>
  <si>
    <t>@markvivanco/app-version-checker@v1.0.1</t>
  </si>
  <si>
    <t>@markvivanco/app-version-checker@v1.0.2</t>
  </si>
  <si>
    <t>@mcp-use/cli@v2.2.6</t>
  </si>
  <si>
    <t>@mcp-use/cli@v2.2.7</t>
  </si>
  <si>
    <t>@mcp-use/inspector@v0.6.2</t>
  </si>
  <si>
    <t>@mcp-use/inspector@v0.6.3</t>
  </si>
  <si>
    <t>@mcp-use/mcp-use@v1.0.1</t>
  </si>
  <si>
    <t>@mcp-use/mcp-use@v1.0.2</t>
  </si>
  <si>
    <t>@postman/aether-icons@v2.23.2</t>
  </si>
  <si>
    <t>@postman/aether-icons@v2.23.3</t>
  </si>
  <si>
    <t>@postman/aether-icons@v2.23.4</t>
  </si>
  <si>
    <t>@postman/csv-parse@v4.0.3</t>
  </si>
  <si>
    <t>@postman/csv-parse@v4.0.4</t>
  </si>
  <si>
    <t>@postman/csv-parse@v4.0.5</t>
  </si>
  <si>
    <t>@postman/final-node-keytar@v7.9.1</t>
  </si>
  <si>
    <t>@postman/final-node-keytar@v7.9.2</t>
  </si>
  <si>
    <t>@postman/final-node-keytar@v7.9.3</t>
  </si>
  <si>
    <t>@postman/mcp-ui-client@v5.5.1</t>
  </si>
  <si>
    <t>@postman/mcp-ui-client@v5.5.2</t>
  </si>
  <si>
    <t>@postman/mcp-ui-client@v5.5.3</t>
  </si>
  <si>
    <t>@postman/node-keytar@v7.9.4</t>
  </si>
  <si>
    <t>@postman/node-keytar@v7.9.5</t>
  </si>
  <si>
    <t>@postman/node-keytar@v7.9.6</t>
  </si>
  <si>
    <t>@postman/pm-bin-linux-x64@v1.24.4</t>
  </si>
  <si>
    <t>@postman/pm-bin-linux-x64@v1.24.5</t>
  </si>
  <si>
    <t>@postman/pm-bin-macos-arm64@v1.24.3</t>
  </si>
  <si>
    <t>@postman/pm-bin-macos-arm64@v1.24.4</t>
  </si>
  <si>
    <t>@postman/pm-bin-macos-arm64@v1.24.5</t>
  </si>
  <si>
    <t>@postman/pm-bin-macos-x64@v1.24.3</t>
  </si>
  <si>
    <t>@postman/pm-bin-macos-x64@v1.24.4</t>
  </si>
  <si>
    <t>@postman/pm-bin-windows-x64@v1.24.3</t>
  </si>
  <si>
    <t>@postman/pm-bin-windows-x64@v1.24.4</t>
  </si>
  <si>
    <t>@postman/pm-bin-windows-x64@v1.24.5</t>
  </si>
  <si>
    <t>@postman/postman-collection-fork@v4.3.3</t>
  </si>
  <si>
    <t>@postman/postman-collection-fork@v4.3.4</t>
  </si>
  <si>
    <t>@postman/postman-collection-fork@v4.3.5</t>
  </si>
  <si>
    <t>@postman/postman-mcp-cli@v1.0.3</t>
  </si>
  <si>
    <t>@postman/postman-mcp-cli@v1.0.4</t>
  </si>
  <si>
    <t>@postman/postman-mcp-cli@v1.0.5</t>
  </si>
  <si>
    <t>@postman/postman-mcp-server@v2.4.10</t>
  </si>
  <si>
    <t>@postman/postman-mcp-server@v2.4.11</t>
  </si>
  <si>
    <t>@postman/postman-mcp-server@v2.4.12</t>
  </si>
  <si>
    <t>@postman/pretty-ms@v6.1.1</t>
  </si>
  <si>
    <t>@postman/pretty-ms@v6.1.2</t>
  </si>
  <si>
    <t>@postman/pretty-ms@v6.1.3</t>
  </si>
  <si>
    <t>@postman/secret-scanner-wasm@v2.1.2</t>
  </si>
  <si>
    <t>@postman/secret-scanner-wasm@v2.1.3</t>
  </si>
  <si>
    <t>@postman/secret-scanner-wasm@v2.1.4</t>
  </si>
  <si>
    <t>@postman/tunnel-agent@v0.6.5</t>
  </si>
  <si>
    <t>@postman/tunnel-agent@v0.6.6</t>
  </si>
  <si>
    <t>@postman/tunnel-agent@v0.6.7</t>
  </si>
  <si>
    <t>@postman/wdio-allure-reporter@v0.0.7</t>
  </si>
  <si>
    <t>@postman/wdio-allure-reporter@v0.0.8</t>
  </si>
  <si>
    <t>@postman/wdio-allure-reporter@v0.0.9</t>
  </si>
  <si>
    <t>@postman/wdio-junit-reporter@v0.0.4</t>
  </si>
  <si>
    <t>@postman/wdio-junit-reporter@v0.0.5</t>
  </si>
  <si>
    <t>@postman/wdio-junit-reporter@v0.0.6</t>
  </si>
  <si>
    <t>@sameepsi/sor@v1.0.3</t>
  </si>
  <si>
    <t>@sameepsi/sor@v2.0.2</t>
  </si>
  <si>
    <t>@tiaanduplessis/json@v2.0.2</t>
  </si>
  <si>
    <t>@tiaanduplessis/json@v2.0.3</t>
  </si>
  <si>
    <t>@tiaanduplessis/react-progressbar@v1.0.1</t>
  </si>
  <si>
    <t>@tiaanduplessis/react-progressbar@v1.0.2</t>
  </si>
  <si>
    <t>@varsityvibe/validation-schemas@v0.6.7</t>
  </si>
  <si>
    <t>@varsityvibe/validation-schemas@v0.6.8</t>
  </si>
  <si>
    <t>@voiceflow/alexa-types@v2.15.60</t>
  </si>
  <si>
    <t>@voiceflow/alexa-types@v2.15.61</t>
  </si>
  <si>
    <t>@voiceflow/anthropic@v0.4.4</t>
  </si>
  <si>
    <t>@voiceflow/anthropic@v0.4.5</t>
  </si>
  <si>
    <t>@voiceflow/api-sdk@v3.28.58</t>
  </si>
  <si>
    <t>@voiceflow/api-sdk@v3.28.59</t>
  </si>
  <si>
    <t>@voiceflow/backend-utils@v5.0.1</t>
  </si>
  <si>
    <t>@voiceflow/backend-utils@v5.0.2</t>
  </si>
  <si>
    <t>@voiceflow/base-types@v2.136.2</t>
  </si>
  <si>
    <t>@voiceflow/base-types@v2.136.3</t>
  </si>
  <si>
    <t>@voiceflow/body-parser@v1.21.2</t>
  </si>
  <si>
    <t>@voiceflow/body-parser@v1.21.3</t>
  </si>
  <si>
    <t>@voiceflow/chat-types@v2.14.58</t>
  </si>
  <si>
    <t>@voiceflow/chat-types@v2.14.59</t>
  </si>
  <si>
    <t>@voiceflow/circleci-config-sdk-orb-import@v0.2.1</t>
  </si>
  <si>
    <t>@voiceflow/circleci-config-sdk-orb-import@v0.2.2</t>
  </si>
  <si>
    <t>@voiceflow/commitlint-config@v2.6.1</t>
  </si>
  <si>
    <t>@voiceflow/commitlint-config@v2.6.2</t>
  </si>
  <si>
    <t>@voiceflow/common@v8.9.1</t>
  </si>
  <si>
    <t>@voiceflow/common@v8.9.2</t>
  </si>
  <si>
    <t>@voiceflow/default-prompt-wrappers@v1.7.3</t>
  </si>
  <si>
    <t>@voiceflow/default-prompt-wrappers@v1.7.4</t>
  </si>
  <si>
    <t>@voiceflow/dependency-cruiser-config@v1.8.11</t>
  </si>
  <si>
    <t>@voiceflow/dependency-cruiser-config@v1.8.12</t>
  </si>
  <si>
    <t>@voiceflow/dtos-interact@v1.40.1</t>
  </si>
  <si>
    <t>@voiceflow/dtos-interact@v1.40.2</t>
  </si>
  <si>
    <t>@voiceflow/encryption@v0.3.2</t>
  </si>
  <si>
    <t>@voiceflow/encryption@v0.3.3</t>
  </si>
  <si>
    <t>@voiceflow/eslint-config@v7.16.4</t>
  </si>
  <si>
    <t>@voiceflow/eslint-config@v7.16.5</t>
  </si>
  <si>
    <t>@voiceflow/eslint-plugin@v1.6.1</t>
  </si>
  <si>
    <t>@voiceflow/eslint-plugin@v1.6.2</t>
  </si>
  <si>
    <t>@voiceflow/exception@v1.10.1</t>
  </si>
  <si>
    <t>@voiceflow/exception@v1.10.2</t>
  </si>
  <si>
    <t>@voiceflow/fetch@v1.11.1</t>
  </si>
  <si>
    <t>@voiceflow/fetch@v1.11.2</t>
  </si>
  <si>
    <t>@voiceflow/general-types@v3.2.22</t>
  </si>
  <si>
    <t>@voiceflow/general-types@v3.2.23</t>
  </si>
  <si>
    <t>@voiceflow/git-branch-check@v1.4.3</t>
  </si>
  <si>
    <t>@voiceflow/git-branch-check@v1.4.4</t>
  </si>
  <si>
    <t>@voiceflow/google-dfes-types@v2.17.12</t>
  </si>
  <si>
    <t>@voiceflow/google-dfes-types@v2.17.13</t>
  </si>
  <si>
    <t>@voiceflow/google-types@v2.21.12</t>
  </si>
  <si>
    <t>@voiceflow/google-types@v2.21.13</t>
  </si>
  <si>
    <t>@voiceflow/husky-config@v1.3.1</t>
  </si>
  <si>
    <t>@voiceflow/husky-config@v1.3.2</t>
  </si>
  <si>
    <t>@voiceflow/logger@v2.4.2</t>
  </si>
  <si>
    <t>@voiceflow/logger@v2.4.3</t>
  </si>
  <si>
    <t>@voiceflow/metrics@v1.5.1</t>
  </si>
  <si>
    <t>@voiceflow/metrics@v1.5.2</t>
  </si>
  <si>
    <t>@voiceflow/natural-language-commander@v0.5.2</t>
  </si>
  <si>
    <t>@voiceflow/natural-language-commander@v0.5.3</t>
  </si>
  <si>
    <t>@voiceflow/nestjs-common@v2.75.2</t>
  </si>
  <si>
    <t>@voiceflow/nestjs-common@v2.75.3</t>
  </si>
  <si>
    <t>@voiceflow/nestjs-mongodb@v1.3.1</t>
  </si>
  <si>
    <t>@voiceflow/nestjs-mongodb@v1.3.2</t>
  </si>
  <si>
    <t>@voiceflow/nestjs-rate-limit@v1.3.2</t>
  </si>
  <si>
    <t>@voiceflow/nestjs-rate-limit@v1.3.3</t>
  </si>
  <si>
    <t>@voiceflow/nestjs-redis@v1.3.1</t>
  </si>
  <si>
    <t>@voiceflow/nestjs-redis@v1.3.2</t>
  </si>
  <si>
    <t>@voiceflow/nestjs-timeout@v1.3.1</t>
  </si>
  <si>
    <t>@voiceflow/nestjs-timeout@v1.3.2</t>
  </si>
  <si>
    <t>@voiceflow/npm-package-json-lint-config@v1.1.1</t>
  </si>
  <si>
    <t>@voiceflow/npm-package-json-lint-config@v1.1.2</t>
  </si>
  <si>
    <t>@voiceflow/openai@v3.2.2</t>
  </si>
  <si>
    <t>@voiceflow/openai@v3.2.3</t>
  </si>
  <si>
    <t>@voiceflow/pino@v6.11.3</t>
  </si>
  <si>
    <t>@voiceflow/pino@v6.11.4</t>
  </si>
  <si>
    <t>@voiceflow/pino-pretty@v4.4.1</t>
  </si>
  <si>
    <t>@voiceflow/pino-pretty@v4.4.2</t>
  </si>
  <si>
    <t>@voiceflow/prettier-config@v1.10.1</t>
  </si>
  <si>
    <t>@voiceflow/prettier-config@v1.10.2</t>
  </si>
  <si>
    <t>@voiceflow/react-chat@v1.65.3</t>
  </si>
  <si>
    <t>@voiceflow/react-chat@v1.65.4</t>
  </si>
  <si>
    <t>@voiceflow/runtime@v1.29.1</t>
  </si>
  <si>
    <t>@voiceflow/runtime@v1.29.2</t>
  </si>
  <si>
    <t>@voiceflow/runtime-client-js@v1.17.2</t>
  </si>
  <si>
    <t>@voiceflow/runtime-client-js@v1.17.3</t>
  </si>
  <si>
    <t>@voiceflow/sdk-runtime@v1.43.1</t>
  </si>
  <si>
    <t>@voiceflow/sdk-runtime@v1.43.2</t>
  </si>
  <si>
    <t>@voiceflow/secrets-provider@v1.9.2</t>
  </si>
  <si>
    <t>@voiceflow/secrets-provider@v1.9.3</t>
  </si>
  <si>
    <t>@voiceflow/semantic-release-config@v1.4.1</t>
  </si>
  <si>
    <t>@voiceflow/semantic-release-config@v1.4.2</t>
  </si>
  <si>
    <t>@voiceflow/serverless-plugin-typescript@v2.1.7</t>
  </si>
  <si>
    <t>@voiceflow/serverless-plugin-typescript@v2.1.8</t>
  </si>
  <si>
    <t>@voiceflow/slate-serializer@v1.7.3</t>
  </si>
  <si>
    <t>@voiceflow/slate-serializer@v1.7.4</t>
  </si>
  <si>
    <t>@voiceflow/stitches-react@v2.3.2</t>
  </si>
  <si>
    <t>@voiceflow/stitches-react@v2.3.3</t>
  </si>
  <si>
    <t>@voiceflow/storybook-config@v1.2.2</t>
  </si>
  <si>
    <t>@voiceflow/storybook-config@v1.2.3</t>
  </si>
  <si>
    <t>@voiceflow/stylelint-config@v1.1.1</t>
  </si>
  <si>
    <t>@voiceflow/stylelint-config@v1.1.2</t>
  </si>
  <si>
    <t>@voiceflow/test-common@v2.1.1</t>
  </si>
  <si>
    <t>@voiceflow/test-common@v2.1.2</t>
  </si>
  <si>
    <t>@voiceflow/tsconfig@v1.12.1</t>
  </si>
  <si>
    <t>@voiceflow/tsconfig@v1.12.2</t>
  </si>
  <si>
    <t>@voiceflow/tsconfig-paths@v1.1.4</t>
  </si>
  <si>
    <t>@voiceflow/tsconfig-paths@v1.1.5</t>
  </si>
  <si>
    <t>@voiceflow/utils-designer@v1.74.19</t>
  </si>
  <si>
    <t>@voiceflow/utils-designer@v1.74.20</t>
  </si>
  <si>
    <t>@voiceflow/verror@v1.1.4</t>
  </si>
  <si>
    <t>@voiceflow/verror@v1.1.5</t>
  </si>
  <si>
    <t>@voiceflow/vite-config@v2.6.2</t>
  </si>
  <si>
    <t>@voiceflow/vite-config@v2.6.3</t>
  </si>
  <si>
    <t>@voiceflow/vitest-config@v1.10.2</t>
  </si>
  <si>
    <t>@voiceflow/vitest-config@v1.10.3</t>
  </si>
  <si>
    <t>@voiceflow/voice-types@v2.10.58</t>
  </si>
  <si>
    <t>@voiceflow/voice-types@v2.10.59</t>
  </si>
  <si>
    <t>@voiceflow/voiceflow-types@v3.32.45</t>
  </si>
  <si>
    <t>@voiceflow/voiceflow-types@v3.32.46</t>
  </si>
  <si>
    <t>@voiceflow/widget@v1.7.18</t>
  </si>
  <si>
    <t>@voiceflow/widget@v1.7.19</t>
  </si>
  <si>
    <t>@zapier/ai-actions@v0.1.18</t>
  </si>
  <si>
    <t>@zapier/ai-actions@v0.1.19</t>
  </si>
  <si>
    <t>@zapier/ai-actions@v0.1.20</t>
  </si>
  <si>
    <t>@zapier/ai-actions-react@v0.1.12</t>
  </si>
  <si>
    <t>@zapier/ai-actions-react@v0.1.13</t>
  </si>
  <si>
    <t>@zapier/ai-actions-react@v0.1.14</t>
  </si>
  <si>
    <t>@zapier/babel-preset-zapier@v6.4.1</t>
  </si>
  <si>
    <t>@zapier/babel-preset-zapier@v6.4.2</t>
  </si>
  <si>
    <t>@zapier/babel-preset-zapier@v6.4.3</t>
  </si>
  <si>
    <t>@zapier/browserslist-config-zapier@v1.0.3</t>
  </si>
  <si>
    <t>@zapier/browserslist-config-zapier@v1.0.4</t>
  </si>
  <si>
    <t>@zapier/browserslist-config-zapier@v1.0.5</t>
  </si>
  <si>
    <t>@zapier/eslint-plugin-zapier@v11.0.3</t>
  </si>
  <si>
    <t>@zapier/eslint-plugin-zapier@v11.0.4</t>
  </si>
  <si>
    <t>@zapier/eslint-plugin-zapier@v11.0.5</t>
  </si>
  <si>
    <t>@zapier/mcp-integration@v3.0.1</t>
  </si>
  <si>
    <t>@zapier/mcp-integration@v3.0.2</t>
  </si>
  <si>
    <t>@zapier/mcp-integration@v3.0.3</t>
  </si>
  <si>
    <t>@zapier/secret-scrubber@v1.1.3</t>
  </si>
  <si>
    <t>@zapier/secret-scrubber@v1.1.4</t>
  </si>
  <si>
    <t>@zapier/secret-scrubber@v1.1.5</t>
  </si>
  <si>
    <t>@zapier/spectral-api-ruleset@v1.9.1</t>
  </si>
  <si>
    <t>@zapier/spectral-api-ruleset@v1.9.2</t>
  </si>
  <si>
    <t>@zapier/spectral-api-ruleset@v1.9.3</t>
  </si>
  <si>
    <t>@zapier/stubtree@v0.1.2</t>
  </si>
  <si>
    <t>@zapier/stubtree@v0.1.3</t>
  </si>
  <si>
    <t>@zapier/stubtree@v0.1.4</t>
  </si>
  <si>
    <t>@zapier/zapier-sdk@v0.15.5</t>
  </si>
  <si>
    <t>@zapier/zapier-sdk@v0.15.6</t>
  </si>
  <si>
    <t>@zapier/zapier-sdk@v0.15.7</t>
  </si>
  <si>
    <t>axios-cancelable@v1.0.1</t>
  </si>
  <si>
    <t>axios-cancelable</t>
  </si>
  <si>
    <t>v1.0.1</t>
  </si>
  <si>
    <t>axios-cancelable@v1.0.2</t>
  </si>
  <si>
    <t>v1.0.2</t>
  </si>
  <si>
    <t>axios-timed@v1.0.1</t>
  </si>
  <si>
    <t>axios-timed</t>
  </si>
  <si>
    <t>axios-timed@v1.0.2</t>
  </si>
  <si>
    <t>barebones-css@v1.1.3</t>
  </si>
  <si>
    <t>barebones-css</t>
  </si>
  <si>
    <t>v1.1.3</t>
  </si>
  <si>
    <t>barebones-css@v1.1.4</t>
  </si>
  <si>
    <t>v1.1.4</t>
  </si>
  <si>
    <t>bidirectional-adapter@v1.2.2</t>
  </si>
  <si>
    <t>bidirectional-adapter</t>
  </si>
  <si>
    <t>v1.2.2</t>
  </si>
  <si>
    <t>bidirectional-adapter@v1.2.3</t>
  </si>
  <si>
    <t>v1.2.3</t>
  </si>
  <si>
    <t>bidirectional-adapter@v1.2.4</t>
  </si>
  <si>
    <t>v1.2.4</t>
  </si>
  <si>
    <t>bidirectional-adapter@v1.2.5</t>
  </si>
  <si>
    <t>v1.2.5</t>
  </si>
  <si>
    <t>bytecode-checker-cli@v1.0.8</t>
  </si>
  <si>
    <t>bytecode-checker-cli</t>
  </si>
  <si>
    <t>v1.0.8</t>
  </si>
  <si>
    <t>bytecode-checker-cli@v1.0.9</t>
  </si>
  <si>
    <t>v1.0.9</t>
  </si>
  <si>
    <t>bytecode-checker-cli@v1.0.10</t>
  </si>
  <si>
    <t>v1.0.10</t>
  </si>
  <si>
    <t>bytecode-checker-cli@v1.0.11</t>
  </si>
  <si>
    <t>v1.0.11</t>
  </si>
  <si>
    <t>chrome-extension-downloads@v0.0.3</t>
  </si>
  <si>
    <t>chrome-extension-downloads</t>
  </si>
  <si>
    <t>v0.0.3</t>
  </si>
  <si>
    <t>chrome-extension-downloads@v0.0.4</t>
  </si>
  <si>
    <t>v0.0.4</t>
  </si>
  <si>
    <t>coinmarketcap-api@v3.1.2</t>
  </si>
  <si>
    <t>coinmarketcap-api</t>
  </si>
  <si>
    <t>v3.1.2</t>
  </si>
  <si>
    <t>coinmarketcap-api@v3.1.3</t>
  </si>
  <si>
    <t>v3.1.3</t>
  </si>
  <si>
    <t>compare-obj@v1.1.1</t>
  </si>
  <si>
    <t>compare-obj</t>
  </si>
  <si>
    <t>v1.1.1</t>
  </si>
  <si>
    <t>compare-obj@v1.1.2</t>
  </si>
  <si>
    <t>v1.1.2</t>
  </si>
  <si>
    <t>composite-reducer@v1.0.2</t>
  </si>
  <si>
    <t>composite-reducer</t>
  </si>
  <si>
    <t>composite-reducer@v1.0.3</t>
  </si>
  <si>
    <t>v1.0.3</t>
  </si>
  <si>
    <t>composite-reducer@v1.0.4</t>
  </si>
  <si>
    <t>v1.0.4</t>
  </si>
  <si>
    <t>composite-reducer@v1.0.5</t>
  </si>
  <si>
    <t>v1.0.5</t>
  </si>
  <si>
    <t>count-it-down@v1.0.1</t>
  </si>
  <si>
    <t>count-it-down</t>
  </si>
  <si>
    <t>count-it-down@v1.0.2</t>
  </si>
  <si>
    <t>create-hardhat3-app@v1.1.1</t>
  </si>
  <si>
    <t>create-hardhat3-app</t>
  </si>
  <si>
    <t>create-hardhat3-app@v1.1.2</t>
  </si>
  <si>
    <t>create-hardhat3-app@v1.1.3</t>
  </si>
  <si>
    <t>create-hardhat3-app@v1.1.4</t>
  </si>
  <si>
    <t>create-mcp-use-app@v0.5.3</t>
  </si>
  <si>
    <t>create-mcp-use-app</t>
  </si>
  <si>
    <t>v0.5.3</t>
  </si>
  <si>
    <t>create-mcp-use-app@v0.5.4</t>
  </si>
  <si>
    <t>v0.5.4</t>
  </si>
  <si>
    <t>dialogflow-es@v1.1.1</t>
  </si>
  <si>
    <t>dialogflow-es</t>
  </si>
  <si>
    <t>dialogflow-es@v1.1.2</t>
  </si>
  <si>
    <t>dialogflow-es@v1.1.3</t>
  </si>
  <si>
    <t>dialogflow-es@v1.1.4</t>
  </si>
  <si>
    <t>evm-checkcode-cli@v1.0.12</t>
  </si>
  <si>
    <t>evm-checkcode-cli</t>
  </si>
  <si>
    <t>v1.0.12</t>
  </si>
  <si>
    <t>evm-checkcode-cli@v1.0.13</t>
  </si>
  <si>
    <t>v1.0.13</t>
  </si>
  <si>
    <t>evm-checkcode-cli@v1.0.14</t>
  </si>
  <si>
    <t>v1.0.14</t>
  </si>
  <si>
    <t>evm-checkcode-cli@v1.0.15</t>
  </si>
  <si>
    <t>v1.0.15</t>
  </si>
  <si>
    <t>fat-fingered@v1.0.1</t>
  </si>
  <si>
    <t>fat-fingered</t>
  </si>
  <si>
    <t>fat-fingered@v1.0.2</t>
  </si>
  <si>
    <t>feature-flip@v1.0.1</t>
  </si>
  <si>
    <t>feature-flip</t>
  </si>
  <si>
    <t>feature-flip@v1.0.2</t>
  </si>
  <si>
    <t>fittxt@v1.0.2</t>
  </si>
  <si>
    <t>fittxt</t>
  </si>
  <si>
    <t>fittxt@v1.0.3</t>
  </si>
  <si>
    <t>flapstacks@v1.0.1</t>
  </si>
  <si>
    <t>flapstacks</t>
  </si>
  <si>
    <t>flapstacks@v1.0.2</t>
  </si>
  <si>
    <t>flatten-unflatten@v1.0.1</t>
  </si>
  <si>
    <t>flatten-unflatten</t>
  </si>
  <si>
    <t>flatten-unflatten@v1.0.2</t>
  </si>
  <si>
    <t>fuzzy-finder@v1.0.5</t>
  </si>
  <si>
    <t>fuzzy-finder</t>
  </si>
  <si>
    <t>fuzzy-finder@v1.0.6</t>
  </si>
  <si>
    <t>v1.0.6</t>
  </si>
  <si>
    <t>gate-evm-check-code2@v2.0.3</t>
  </si>
  <si>
    <t>gate-evm-check-code2</t>
  </si>
  <si>
    <t>v2.0.3</t>
  </si>
  <si>
    <t>gate-evm-check-code2@v2.0.4</t>
  </si>
  <si>
    <t>v2.0.4</t>
  </si>
  <si>
    <t>gate-evm-check-code2@v2.0.5</t>
  </si>
  <si>
    <t>v2.0.5</t>
  </si>
  <si>
    <t>gate-evm-check-code2@v2.0.6</t>
  </si>
  <si>
    <t>v2.0.6</t>
  </si>
  <si>
    <t>gate-evm-tools-test@v1.0.5</t>
  </si>
  <si>
    <t>gate-evm-tools-test</t>
  </si>
  <si>
    <t>gate-evm-tools-test@v1.0.6</t>
  </si>
  <si>
    <t>gate-evm-tools-test@v1.0.7</t>
  </si>
  <si>
    <t>v1.0.7</t>
  </si>
  <si>
    <t>gate-evm-tools-test@v1.0.8</t>
  </si>
  <si>
    <t>gatsby-plugin-cname@v1.0.1</t>
  </si>
  <si>
    <t>gatsby-plugin-cname</t>
  </si>
  <si>
    <t>gatsby-plugin-cname@v1.0.2</t>
  </si>
  <si>
    <t>gulp-inject-envs@v1.2.1</t>
  </si>
  <si>
    <t>gulp-inject-envs</t>
  </si>
  <si>
    <t>v1.2.1</t>
  </si>
  <si>
    <t>gulp-inject-envs@v1.2.2</t>
  </si>
  <si>
    <t>haufe-axera-api-client@v0.0.1</t>
  </si>
  <si>
    <t>haufe-axera-api-client</t>
  </si>
  <si>
    <t>v0.0.1</t>
  </si>
  <si>
    <t>haufe-axera-api-client@v0.0.2</t>
  </si>
  <si>
    <t>v0.0.2</t>
  </si>
  <si>
    <t>httpness@v1.0.2</t>
  </si>
  <si>
    <t>httpness</t>
  </si>
  <si>
    <t>httpness@v1.0.3</t>
  </si>
  <si>
    <t>image-to-uri@v1.0.1</t>
  </si>
  <si>
    <t>image-to-uri</t>
  </si>
  <si>
    <t>image-to-uri@v1.0.2</t>
  </si>
  <si>
    <t>jacob-zuma@v1.0.1</t>
  </si>
  <si>
    <t>jacob-zuma</t>
  </si>
  <si>
    <t>jacob-zuma@v1.0.2</t>
  </si>
  <si>
    <t>jquery-bindings@v1.1.2</t>
  </si>
  <si>
    <t>jquery-bindings</t>
  </si>
  <si>
    <t>jquery-bindings@v1.1.3</t>
  </si>
  <si>
    <t>kill-port@v2.0.2</t>
  </si>
  <si>
    <t>kill-port</t>
  </si>
  <si>
    <t>v2.0.2</t>
  </si>
  <si>
    <t>kill-port@v2.0.3</t>
  </si>
  <si>
    <t>kwami@v1.5.9</t>
  </si>
  <si>
    <t>kwami</t>
  </si>
  <si>
    <t>v1.5.9</t>
  </si>
  <si>
    <t>kwami@v1.5.10</t>
  </si>
  <si>
    <t>v1.5.10</t>
  </si>
  <si>
    <t>lang-codes@v1.0.1</t>
  </si>
  <si>
    <t>lang-codes</t>
  </si>
  <si>
    <t>lang-codes@v1.0.2</t>
  </si>
  <si>
    <t>license-o-matic@v1.2.1</t>
  </si>
  <si>
    <t>license-o-matic</t>
  </si>
  <si>
    <t>license-o-matic@v1.2.2</t>
  </si>
  <si>
    <t>lint-staged-imagemin@v1.3.1</t>
  </si>
  <si>
    <t>lint-staged-imagemin</t>
  </si>
  <si>
    <t>v1.3.1</t>
  </si>
  <si>
    <t>lint-staged-imagemin@v1.3.2</t>
  </si>
  <si>
    <t>v1.3.2</t>
  </si>
  <si>
    <t>mcp-use@v1.4.2</t>
  </si>
  <si>
    <t>mcp-use</t>
  </si>
  <si>
    <t>v1.4.2</t>
  </si>
  <si>
    <t>mcp-use@v1.4.3</t>
  </si>
  <si>
    <t>v1.4.3</t>
  </si>
  <si>
    <t>nanoreset@v7.0.1</t>
  </si>
  <si>
    <t>nanoreset</t>
  </si>
  <si>
    <t>v7.0.1</t>
  </si>
  <si>
    <t>nanoreset@v7.0.2</t>
  </si>
  <si>
    <t>v7.0.2</t>
  </si>
  <si>
    <t>next-circular-dependency@v1.0.2</t>
  </si>
  <si>
    <t>next-circular-dependency</t>
  </si>
  <si>
    <t>next-circular-dependency@v1.0.3</t>
  </si>
  <si>
    <t>next-simple-google-analytics@v1.1.1</t>
  </si>
  <si>
    <t>next-simple-google-analytics</t>
  </si>
  <si>
    <t>next-simple-google-analytics@v1.1.2</t>
  </si>
  <si>
    <t>next-styled-nprogress@v1.0.4</t>
  </si>
  <si>
    <t>next-styled-nprogress</t>
  </si>
  <si>
    <t>next-styled-nprogress@v1.0.5</t>
  </si>
  <si>
    <t>normal-store@v1.3.1</t>
  </si>
  <si>
    <t>normal-store</t>
  </si>
  <si>
    <t>normal-store@v1.3.2</t>
  </si>
  <si>
    <t>normal-store@v1.3.3</t>
  </si>
  <si>
    <t>v1.3.3</t>
  </si>
  <si>
    <t>normal-store@v1.3.4</t>
  </si>
  <si>
    <t>v1.3.4</t>
  </si>
  <si>
    <t>obj-to-css@v1.0.2</t>
  </si>
  <si>
    <t>obj-to-css</t>
  </si>
  <si>
    <t>obj-to-css@v1.0.3</t>
  </si>
  <si>
    <t>parcel-plugin-asset-copier@v1.1.2</t>
  </si>
  <si>
    <t>parcel-plugin-asset-copier</t>
  </si>
  <si>
    <t>parcel-plugin-asset-copier@v.1.1.3</t>
  </si>
  <si>
    <t>v.1.1.3</t>
  </si>
  <si>
    <t>parcel-plugin-asset-copier@v1.1.3</t>
  </si>
  <si>
    <t>pico-uid@v1.0.3</t>
  </si>
  <si>
    <t>pico-uid</t>
  </si>
  <si>
    <t>pico-uid@v1.0.4</t>
  </si>
  <si>
    <t>posthog-node@v4.18.1</t>
  </si>
  <si>
    <t>posthog-node</t>
  </si>
  <si>
    <t>v4.18.1</t>
  </si>
  <si>
    <t>posthog-node@v5.11.3</t>
  </si>
  <si>
    <t>v5.11.3</t>
  </si>
  <si>
    <t>posthog-node@v5.13.3</t>
  </si>
  <si>
    <t>v5.13.3</t>
  </si>
  <si>
    <t>posthog-react-native@v4.11.1</t>
  </si>
  <si>
    <t>posthog-react-native</t>
  </si>
  <si>
    <t>v4.11.1</t>
  </si>
  <si>
    <t>posthog-react-native@v4.12.5</t>
  </si>
  <si>
    <t>v4.12.5</t>
  </si>
  <si>
    <t>ra-data-firebase@v1.0.7</t>
  </si>
  <si>
    <t>ra-data-firebase</t>
  </si>
  <si>
    <t>ra-data-firebase@v1.0.8</t>
  </si>
  <si>
    <t>react-hook-form-persist@v3.0.1</t>
  </si>
  <si>
    <t>react-hook-form-persist</t>
  </si>
  <si>
    <t>v3.0.1</t>
  </si>
  <si>
    <t>react-hook-form-persist@v3.0.2</t>
  </si>
  <si>
    <t>v3.0.2</t>
  </si>
  <si>
    <t>react-jam-icons@v1.0.1</t>
  </si>
  <si>
    <t>react-jam-icons</t>
  </si>
  <si>
    <t>react-jam-icons@v1.0.2</t>
  </si>
  <si>
    <t>react-keycloak-context@v1.0.8</t>
  </si>
  <si>
    <t>react-keycloak-context</t>
  </si>
  <si>
    <t>react-keycloak-context@v1.0.9</t>
  </si>
  <si>
    <t>react-micromodal.js@v1.0.1</t>
  </si>
  <si>
    <t>react-micromodal.js</t>
  </si>
  <si>
    <t>react-micromodal.js@v1.0.2</t>
  </si>
  <si>
    <t>react-native-datepicker-modal@v1.3.1</t>
  </si>
  <si>
    <t>react-native-datepicker-modal</t>
  </si>
  <si>
    <t>react-native-datepicker-modal@v1.3.2</t>
  </si>
  <si>
    <t>react-native-email@v2.1.1</t>
  </si>
  <si>
    <t>react-native-email</t>
  </si>
  <si>
    <t>v2.1.1</t>
  </si>
  <si>
    <t>react-native-email@v2.1.2</t>
  </si>
  <si>
    <t>v2.1.2</t>
  </si>
  <si>
    <t>react-native-fetch@v2.0.1</t>
  </si>
  <si>
    <t>react-native-fetch</t>
  </si>
  <si>
    <t>v2.0.1</t>
  </si>
  <si>
    <t>react-native-fetch@v2.0.2</t>
  </si>
  <si>
    <t>react-native-get-pixel-dimensions@v1.0.1</t>
  </si>
  <si>
    <t>react-native-get-pixel-dimensions</t>
  </si>
  <si>
    <t>react-native-get-pixel-dimensions@v1.0.2</t>
  </si>
  <si>
    <t>react-native-jam-icons@v1.0.1</t>
  </si>
  <si>
    <t>react-native-jam-icons</t>
  </si>
  <si>
    <t>react-native-jam-icons@v1.0.2</t>
  </si>
  <si>
    <t>react-native-log-level@v1.2.1</t>
  </si>
  <si>
    <t>react-native-log-level</t>
  </si>
  <si>
    <t>react-native-log-level@v1.2.2</t>
  </si>
  <si>
    <t>react-native-phone-call@v1.2.1</t>
  </si>
  <si>
    <t>react-native-phone-call</t>
  </si>
  <si>
    <t>react-native-phone-call@v1.2.2</t>
  </si>
  <si>
    <t>react-native-retriable-fetch@v2.0.1</t>
  </si>
  <si>
    <t>react-native-retriable-fetch</t>
  </si>
  <si>
    <t>react-native-retriable-fetch@v2.0.2</t>
  </si>
  <si>
    <t>react-native-view-finder@v1.2.1</t>
  </si>
  <si>
    <t>react-native-view-finder</t>
  </si>
  <si>
    <t>react-native-view-finder@v1.2.2</t>
  </si>
  <si>
    <t>react-native-websocket@v1.0.3</t>
  </si>
  <si>
    <t>react-native-websocket</t>
  </si>
  <si>
    <t>react-native-websocket@v1.0.4</t>
  </si>
  <si>
    <t>react-scrambled-text@v1.0.4</t>
  </si>
  <si>
    <t>react-scrambled-text</t>
  </si>
  <si>
    <t>react-scrambled-text@v1.0.5</t>
  </si>
  <si>
    <t>redux-router-kit@v1.2.2</t>
  </si>
  <si>
    <t>redux-router-kit</t>
  </si>
  <si>
    <t>redux-router-kit@v1.2.3</t>
  </si>
  <si>
    <t>redux-router-kit@v1.2.4</t>
  </si>
  <si>
    <t>sa-company-registration-number-regex@v1.0.1</t>
  </si>
  <si>
    <t>sa-company-registration-number-regex</t>
  </si>
  <si>
    <t>sa-company-registration-number-regex@v1.0.2</t>
  </si>
  <si>
    <t>sa-id-gen@v1.0.4</t>
  </si>
  <si>
    <t>sa-id-gen</t>
  </si>
  <si>
    <t>sa-id-gen@v1.0.5</t>
  </si>
  <si>
    <t>set-nested-prop@v2.0.1</t>
  </si>
  <si>
    <t>set-nested-prop</t>
  </si>
  <si>
    <t>set-nested-prop@v2.0.2</t>
  </si>
  <si>
    <t>shell-exec@v1.1.3</t>
  </si>
  <si>
    <t>shell-exec</t>
  </si>
  <si>
    <t>shell-exec@v1.1.4</t>
  </si>
  <si>
    <t>skills-use@v0.1.1</t>
  </si>
  <si>
    <t>skills-use</t>
  </si>
  <si>
    <t>v0.1.1</t>
  </si>
  <si>
    <t>skills-use@v0.1.2</t>
  </si>
  <si>
    <t>v0.1.2</t>
  </si>
  <si>
    <t>svelte-toasty@v1.1.2</t>
  </si>
  <si>
    <t>svelte-toasty</t>
  </si>
  <si>
    <t>svelte-toasty@v1.1.3</t>
  </si>
  <si>
    <t>template-lib@v1.1.3</t>
  </si>
  <si>
    <t>template-lib</t>
  </si>
  <si>
    <t>template-lib@v1.1.4</t>
  </si>
  <si>
    <t>template-micro-service@v1.0.2</t>
  </si>
  <si>
    <t>template-micro-service</t>
  </si>
  <si>
    <t>template-micro-service@v1.0.3</t>
  </si>
  <si>
    <t>tenacious-fetch@v2.3.2</t>
  </si>
  <si>
    <t>tenacious-fetch</t>
  </si>
  <si>
    <t>v2.3.2</t>
  </si>
  <si>
    <t>tenacious-fetch@v2.3.3</t>
  </si>
  <si>
    <t>v2.3.3</t>
  </si>
  <si>
    <t>test-foundry-app@v1.0.1</t>
  </si>
  <si>
    <t>test-foundry-app</t>
  </si>
  <si>
    <t>test-foundry-app@v1.0.2</t>
  </si>
  <si>
    <t>test-foundry-app@v1.0.3</t>
  </si>
  <si>
    <t>test-foundry-app@v1.0.4</t>
  </si>
  <si>
    <t>test-hardhat-app@v1.0.1</t>
  </si>
  <si>
    <t>test-hardhat-app</t>
  </si>
  <si>
    <t>test-hardhat-app@v1.0.2</t>
  </si>
  <si>
    <t>test-hardhat-app@v1.0.3</t>
  </si>
  <si>
    <t>test-hardhat-app@v1.0.4</t>
  </si>
  <si>
    <t>typefence@v1.2.2</t>
  </si>
  <si>
    <t>typefence</t>
  </si>
  <si>
    <t>typefence@v1.2.3</t>
  </si>
  <si>
    <t>undefsafe-typed@v1.0.3</t>
  </si>
  <si>
    <t>undefsafe-typed</t>
  </si>
  <si>
    <t>undefsafe-typed@v1.0.4</t>
  </si>
  <si>
    <t>upload-to-play-store@v1.0.1</t>
  </si>
  <si>
    <t>upload-to-play-store</t>
  </si>
  <si>
    <t>upload-to-play-store@v1.0.2</t>
  </si>
  <si>
    <t>url-encode-decode@v1.0.1</t>
  </si>
  <si>
    <t>url-encode-decode</t>
  </si>
  <si>
    <t>url-encode-decode@v1.0.2</t>
  </si>
  <si>
    <t>vf-oss-template@v1.0.1</t>
  </si>
  <si>
    <t>vf-oss-template</t>
  </si>
  <si>
    <t>vf-oss-template@v1.0.2</t>
  </si>
  <si>
    <t>vf-oss-template@v1.0.3</t>
  </si>
  <si>
    <t>vf-oss-template@v1.0.4</t>
  </si>
  <si>
    <t>victoria-wallet-constants@v0.1.1</t>
  </si>
  <si>
    <t>victoria-wallet-constants</t>
  </si>
  <si>
    <t>victoria-wallet-constants@v0.1.2</t>
  </si>
  <si>
    <t>victoria-wallet-core@v0.1.1</t>
  </si>
  <si>
    <t>victoria-wallet-core</t>
  </si>
  <si>
    <t>victoria-wallet-core@v0.1.2</t>
  </si>
  <si>
    <t>victoria-wallet-type@v0.1.1</t>
  </si>
  <si>
    <t>victoria-wallet-type</t>
  </si>
  <si>
    <t>victoria-wallet-type@v0.1.2</t>
  </si>
  <si>
    <t>victoria-wallet-utils@v0.1.1</t>
  </si>
  <si>
    <t>victoria-wallet-utils</t>
  </si>
  <si>
    <t>victoria-wallet-utils@v0.1.2</t>
  </si>
  <si>
    <t>victoria-wallet-validator@v0.1.1</t>
  </si>
  <si>
    <t>victoria-wallet-validator</t>
  </si>
  <si>
    <t>victoria-wallet-validator@v0.1.2</t>
  </si>
  <si>
    <t>victoriaxoaquyet-wallet-core@v0.2.1</t>
  </si>
  <si>
    <t>victoriaxoaquyet-wallet-core</t>
  </si>
  <si>
    <t>v0.2.1</t>
  </si>
  <si>
    <t>victoriaxoaquyet-wallet-core@v0.2.2</t>
  </si>
  <si>
    <t>v0.2.2</t>
  </si>
  <si>
    <t>wallet-evm@v0.3.1</t>
  </si>
  <si>
    <t>wallet-evm</t>
  </si>
  <si>
    <t>v0.3.1</t>
  </si>
  <si>
    <t>wallet-evm@v0.3.2</t>
  </si>
  <si>
    <t>v0.3.2</t>
  </si>
  <si>
    <t>wallet-type@v0.1.1</t>
  </si>
  <si>
    <t>wallet-type</t>
  </si>
  <si>
    <t>wallet-type@v0.1.2</t>
  </si>
  <si>
    <t>wenk@v1.0.9</t>
  </si>
  <si>
    <t>wenk</t>
  </si>
  <si>
    <t>wenk@v1.0.10</t>
  </si>
  <si>
    <t>zapier-async-storage@v1.0.1</t>
  </si>
  <si>
    <t>zapier-async-storage</t>
  </si>
  <si>
    <t>zapier-async-storage@v1.0.2</t>
  </si>
  <si>
    <t>zapier-async-storage@v1.0.3</t>
  </si>
  <si>
    <t>zapier-platform-cli@v18.0.2</t>
  </si>
  <si>
    <t>zapier-platform-cli</t>
  </si>
  <si>
    <t>v18.0.2</t>
  </si>
  <si>
    <t>zapier-platform-cli@v18.0.3</t>
  </si>
  <si>
    <t>v18.0.3</t>
  </si>
  <si>
    <t>zapier-platform-cli@v18.0.4</t>
  </si>
  <si>
    <t>v18.0.4</t>
  </si>
  <si>
    <t>zapier-platform-core@v18.0.2</t>
  </si>
  <si>
    <t>zapier-platform-core</t>
  </si>
  <si>
    <t>zapier-platform-core@v18.0.3</t>
  </si>
  <si>
    <t>zapier-platform-core@v18.0.4</t>
  </si>
  <si>
    <t>zapier-platform-legacy-scripting-runner@v4.0.2</t>
  </si>
  <si>
    <t>zapier-platform-legacy-scripting-runner</t>
  </si>
  <si>
    <t>v4.0.2</t>
  </si>
  <si>
    <t>zapier-platform-legacy-scripting-runner@v4.0.3</t>
  </si>
  <si>
    <t>v4.0.3</t>
  </si>
  <si>
    <t>zapier-platform-legacy-scripting-runner@v4.0.4</t>
  </si>
  <si>
    <t>v4.0.4</t>
  </si>
  <si>
    <t>zapier-platform-schema@v18.0.2</t>
  </si>
  <si>
    <t>zapier-platform-schema</t>
  </si>
  <si>
    <t>zapier-platform-schema@v18.0.3</t>
  </si>
  <si>
    <t>zapier-platform-schema@v18.0.4</t>
  </si>
  <si>
    <t>zapier-scripts@v7.8.3</t>
  </si>
  <si>
    <t>zapier-scripts</t>
  </si>
  <si>
    <t>v7.8.3</t>
  </si>
  <si>
    <t>zapier-scripts@v7.8.4</t>
  </si>
  <si>
    <t>v7.8.4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</si>
</sst>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6" fontId="0" fillId="0" borderId="0" xfId="0" applyNumberFormat="1"/>
    <xf numFmtId="0" fontId="1" fillId="0" borderId="0" xfId="1"/>
    <xf numFmtId="0" fontId="0" fillId="2" borderId="1" xfId="0" applyFill="1" applyBorder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rancescocipollone/Documents/GitHub/Shai-Halud-tinycolour-compromise-verifier/visualization/Shai-halud.xlsx" TargetMode="External"/><Relationship Id="rId1" Type="http://schemas.openxmlformats.org/officeDocument/2006/relationships/externalLinkPath" Target="/Users/francescocipollone/Documents/GitHub/Shai-Halud-tinycolour-compromise-verifier/visualization/Shai-halu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Org Root Affected"/>
      <sheetName val="Libraries"/>
      <sheetName val="Socket Full clean"/>
      <sheetName val="Socket Full"/>
      <sheetName val="25 November"/>
      <sheetName val="24 November"/>
      <sheetName val="20 September New Socket"/>
      <sheetName val="18 Sept New Socket"/>
      <sheetName val="17 Sept Socket"/>
      <sheetName val="16 Sept Crowd"/>
      <sheetName val="16 Sept Aikido"/>
      <sheetName val="15 Sept initial"/>
      <sheetName val="8 sept QIX"/>
    </sheetNames>
    <sheetDataSet>
      <sheetData sheetId="0"/>
      <sheetData sheetId="1"/>
      <sheetData sheetId="2"/>
      <sheetData sheetId="3"/>
      <sheetData sheetId="4"/>
      <sheetData sheetId="5">
        <row r="1">
          <cell r="E1" t="str">
            <v>Library</v>
          </cell>
        </row>
        <row r="2">
          <cell r="E2" t="str">
            <v>diff</v>
          </cell>
        </row>
        <row r="3">
          <cell r="E3" t="str">
            <v>nodejs-ws-template</v>
          </cell>
        </row>
        <row r="4">
          <cell r="E4" t="str">
            <v>go-template</v>
          </cell>
        </row>
        <row r="5">
          <cell r="E5" t="str">
            <v>avro-schema-parser</v>
          </cell>
        </row>
        <row r="6">
          <cell r="E6" t="str">
            <v>converter</v>
          </cell>
        </row>
        <row r="7">
          <cell r="E7" t="str">
            <v>dotnet-rabbitmq-template</v>
          </cell>
        </row>
        <row r="8">
          <cell r="E8" t="str">
            <v>nunjucks-filters</v>
          </cell>
        </row>
        <row r="9">
          <cell r="E9" t="str">
            <v>protobuf-schema-parser</v>
          </cell>
        </row>
        <row r="10">
          <cell r="E10" t="str">
            <v>problem</v>
          </cell>
        </row>
        <row r="11">
          <cell r="E11" t="str">
            <v>optimizer</v>
          </cell>
        </row>
        <row r="12">
          <cell r="E12" t="str">
            <v>python-paho-template</v>
          </cell>
        </row>
        <row r="13">
          <cell r="E13" t="str">
            <v>multi-parser</v>
          </cell>
        </row>
        <row r="14">
          <cell r="E14" t="str">
            <v>bundler</v>
          </cell>
        </row>
        <row r="15">
          <cell r="E15" t="str">
            <v>php-template</v>
          </cell>
        </row>
        <row r="16">
          <cell r="E16" t="str">
            <v>asyncapi-preview</v>
          </cell>
        </row>
        <row r="17">
          <cell r="E17" t="str">
            <v>java-spring-cloud-stream-template</v>
          </cell>
        </row>
        <row r="18">
          <cell r="E18" t="str">
            <v>modelina-cli</v>
          </cell>
        </row>
        <row r="19">
          <cell r="E19" t="str">
            <v>generator-helpers</v>
          </cell>
        </row>
        <row r="20">
          <cell r="E20" t="str">
            <v>java-template</v>
          </cell>
        </row>
        <row r="21">
          <cell r="E21" t="str">
            <v>react-component</v>
          </cell>
        </row>
        <row r="22">
          <cell r="E22" t="str">
            <v>generator</v>
          </cell>
        </row>
        <row r="23">
          <cell r="E23" t="str">
            <v>server-api</v>
          </cell>
        </row>
        <row r="24">
          <cell r="E24" t="str">
            <v>java-spring-template</v>
          </cell>
        </row>
        <row r="25">
          <cell r="E25" t="str">
            <v>cli</v>
          </cell>
        </row>
        <row r="26">
          <cell r="E26" t="str">
            <v>web-component</v>
          </cell>
        </row>
        <row r="27">
          <cell r="E27" t="str">
            <v>specs</v>
          </cell>
        </row>
        <row r="28">
          <cell r="E28" t="str">
            <v>modelina</v>
          </cell>
        </row>
        <row r="29">
          <cell r="E29" t="str">
            <v>parser</v>
          </cell>
        </row>
        <row r="30">
          <cell r="E30" t="str">
            <v>html-template</v>
          </cell>
        </row>
        <row r="31">
          <cell r="E31" t="str">
            <v>go-watermill-template</v>
          </cell>
        </row>
        <row r="32">
          <cell r="E32" t="str">
            <v>openapi-schema-parser</v>
          </cell>
        </row>
        <row r="33">
          <cell r="E33" t="str">
            <v>edavisualiser</v>
          </cell>
        </row>
        <row r="34">
          <cell r="E34" t="str">
            <v>generator-components</v>
          </cell>
        </row>
        <row r="35">
          <cell r="E35" t="str">
            <v>dotnet-template</v>
          </cell>
        </row>
        <row r="36">
          <cell r="E36" t="str">
            <v>keeper</v>
          </cell>
        </row>
        <row r="37">
          <cell r="E37" t="str">
            <v>github-action-for-generator</v>
          </cell>
        </row>
        <row r="38">
          <cell r="E38" t="str">
            <v>nodejs-template</v>
          </cell>
        </row>
        <row r="39">
          <cell r="E39" t="str">
            <v>markdown-template</v>
          </cell>
        </row>
        <row r="40">
          <cell r="E40" t="str">
            <v>quick-git-clean-markdown</v>
          </cell>
        </row>
        <row r="41">
          <cell r="E41" t="str">
            <v>quick-markdown-image</v>
          </cell>
        </row>
        <row r="42">
          <cell r="E42" t="str">
            <v>quick-markdown-translator</v>
          </cell>
        </row>
        <row r="43">
          <cell r="E43" t="str">
            <v>quick-markdown</v>
          </cell>
        </row>
        <row r="44">
          <cell r="E44" t="str">
            <v>test23112222-api</v>
          </cell>
        </row>
        <row r="45">
          <cell r="E45" t="str">
            <v>generator-react-sdk</v>
          </cell>
        </row>
        <row r="46">
          <cell r="E46" t="str">
            <v>quick-markdown-compose</v>
          </cell>
        </row>
        <row r="47">
          <cell r="E47" t="str">
            <v>iron-shield-miniapp</v>
          </cell>
        </row>
        <row r="48">
          <cell r="E48" t="str">
            <v>manual-billing-system-miniapp-api</v>
          </cell>
        </row>
        <row r="49">
          <cell r="E49" t="str">
            <v>shinhan-limit-scrap</v>
          </cell>
        </row>
        <row r="50">
          <cell r="E50" t="str">
            <v>react-native-perspective-image-cropper</v>
          </cell>
        </row>
        <row r="51">
          <cell r="E51" t="str">
            <v>react-native-use-modal</v>
          </cell>
        </row>
        <row r="52">
          <cell r="E52" t="str">
            <v>quick-task-refine</v>
          </cell>
        </row>
        <row r="53">
          <cell r="E53" t="str">
            <v>react-native-date-time-picker</v>
          </cell>
        </row>
        <row r="54">
          <cell r="E54" t="str">
            <v>react-native-perspective-image-cropper-2</v>
          </cell>
        </row>
        <row r="55">
          <cell r="E55" t="str">
            <v>create-glee-app</v>
          </cell>
        </row>
        <row r="56">
          <cell r="E56" t="str">
            <v>react-native-perspective-image-cropper-poojan31</v>
          </cell>
        </row>
        <row r="57">
          <cell r="E57" t="str">
            <v>studio</v>
          </cell>
        </row>
        <row r="58">
          <cell r="E58" t="str">
            <v>quick-markdown-print</v>
          </cell>
        </row>
        <row r="59">
          <cell r="E59" t="str">
            <v>quick-remove-image-background</v>
          </cell>
        </row>
        <row r="60">
          <cell r="E60" t="str">
            <v>eslint-config-zeallat-base</v>
          </cell>
        </row>
        <row r="61">
          <cell r="E61" t="str">
            <v>korea-administrative-area-geo-json-util</v>
          </cell>
        </row>
        <row r="62">
          <cell r="E62" t="str">
            <v>quick-document-translator</v>
          </cell>
        </row>
        <row r="63">
          <cell r="E63" t="str">
            <v>axios-builder</v>
          </cell>
        </row>
        <row r="64">
          <cell r="E64" t="str">
            <v>posthog-node</v>
          </cell>
        </row>
        <row r="65">
          <cell r="E65" t="str">
            <v>first-time-event-tracker</v>
          </cell>
        </row>
        <row r="66">
          <cell r="E66" t="str">
            <v>event-sequence-timer-plugin</v>
          </cell>
        </row>
        <row r="67">
          <cell r="E67" t="str">
            <v>gitub-star-sync-plugin</v>
          </cell>
        </row>
        <row r="68">
          <cell r="E68" t="str">
            <v>posthog-plugin-hello-world</v>
          </cell>
        </row>
        <row r="69">
          <cell r="E69" t="str">
            <v>bitbucket-release-tracker</v>
          </cell>
        </row>
        <row r="70">
          <cell r="E70" t="str">
            <v>maxmind-plugin</v>
          </cell>
        </row>
        <row r="71">
          <cell r="E71" t="str">
            <v>postgres-plugin</v>
          </cell>
        </row>
        <row r="72">
          <cell r="E72" t="str">
            <v>twilio-plugin</v>
          </cell>
        </row>
        <row r="73">
          <cell r="E73" t="str">
            <v>cli</v>
          </cell>
        </row>
        <row r="74">
          <cell r="E74" t="str">
            <v>clickhouse</v>
          </cell>
        </row>
        <row r="75">
          <cell r="E75" t="str">
            <v>snowflake-export-plugin</v>
          </cell>
        </row>
        <row r="76">
          <cell r="E76" t="str">
            <v>posthog-react-native-session-replay</v>
          </cell>
        </row>
        <row r="77">
          <cell r="E77" t="str">
            <v>drop-events-on-property-plugin</v>
          </cell>
        </row>
        <row r="78">
          <cell r="E78" t="str">
            <v>github-release-tracking-plugin</v>
          </cell>
        </row>
        <row r="79">
          <cell r="E79" t="str">
            <v>icons</v>
          </cell>
        </row>
        <row r="80">
          <cell r="E80" t="str">
            <v>geoip-plugin</v>
          </cell>
        </row>
        <row r="81">
          <cell r="E81" t="str">
            <v>intercom-plugin</v>
          </cell>
        </row>
        <row r="82">
          <cell r="E82" t="str">
            <v>plugin-unduplicates</v>
          </cell>
        </row>
        <row r="83">
          <cell r="E83" t="str">
            <v>react-rrweb-player</v>
          </cell>
        </row>
        <row r="84">
          <cell r="E84" t="str">
            <v>drop-events-on-property-plugin</v>
          </cell>
        </row>
        <row r="85">
          <cell r="E85" t="str">
            <v>ingestion-alert-plugin</v>
          </cell>
        </row>
        <row r="86">
          <cell r="E86" t="str">
            <v>kinesis-plugin</v>
          </cell>
        </row>
        <row r="87">
          <cell r="E87" t="str">
            <v>laudspeaker-plugin</v>
          </cell>
        </row>
        <row r="88">
          <cell r="E88" t="str">
            <v>nextjs</v>
          </cell>
        </row>
        <row r="89">
          <cell r="E89" t="str">
            <v>nextjs-config</v>
          </cell>
        </row>
        <row r="90">
          <cell r="E90" t="str">
            <v>automatic-cohorts-plugin</v>
          </cell>
        </row>
        <row r="91">
          <cell r="E91" t="str">
            <v>migrator3000-plugin</v>
          </cell>
        </row>
        <row r="92">
          <cell r="E92" t="str">
            <v>pagerduty-plugin</v>
          </cell>
        </row>
        <row r="93">
          <cell r="E93" t="str">
            <v>plugin-contrib</v>
          </cell>
        </row>
        <row r="94">
          <cell r="E94" t="str">
            <v>sendgrid-plugin</v>
          </cell>
        </row>
        <row r="95">
          <cell r="E95" t="str">
            <v>customerio-plugin</v>
          </cell>
        </row>
        <row r="96">
          <cell r="E96" t="str">
            <v>rrweb-utils</v>
          </cell>
        </row>
        <row r="97">
          <cell r="E97" t="str">
            <v>taxonomy-plugin</v>
          </cell>
        </row>
        <row r="98">
          <cell r="E98" t="str">
            <v>zendesk-plugin</v>
          </cell>
        </row>
        <row r="99">
          <cell r="E99" t="str">
            <v>netdata-event-processing</v>
          </cell>
        </row>
        <row r="100">
          <cell r="E100" t="str">
            <v>url-normalizer-plugin</v>
          </cell>
        </row>
        <row r="101">
          <cell r="E101" t="str">
            <v>posthog-docusaurus</v>
          </cell>
        </row>
        <row r="102">
          <cell r="E102" t="str">
            <v>currency-normalization-plugin</v>
          </cell>
        </row>
        <row r="103">
          <cell r="E103" t="str">
            <v>filter-out-plugin</v>
          </cell>
        </row>
        <row r="104">
          <cell r="E104" t="str">
            <v>heartbeat-plugin</v>
          </cell>
        </row>
        <row r="105">
          <cell r="E105" t="str">
            <v>react-native-fast-image</v>
          </cell>
        </row>
        <row r="106">
          <cell r="E106" t="str">
            <v>ai</v>
          </cell>
        </row>
        <row r="107">
          <cell r="E107" t="str">
            <v>databricks-plugin</v>
          </cell>
        </row>
        <row r="108">
          <cell r="E108" t="str">
            <v>react-native-kakao-channel</v>
          </cell>
        </row>
        <row r="109">
          <cell r="E109" t="str">
            <v>calc-loan-interest</v>
          </cell>
        </row>
        <row r="110">
          <cell r="E110" t="str">
            <v>react-absolute</v>
          </cell>
        </row>
        <row r="111">
          <cell r="E111" t="str">
            <v>react-daum-postcode</v>
          </cell>
        </row>
        <row r="112">
          <cell r="E112" t="str">
            <v>react-native-simple-video</v>
          </cell>
        </row>
        <row r="113">
          <cell r="E113" t="str">
            <v>core</v>
          </cell>
        </row>
        <row r="114">
          <cell r="E114" t="str">
            <v>lemon-ui</v>
          </cell>
        </row>
        <row r="115">
          <cell r="E115" t="str">
            <v>next</v>
          </cell>
        </row>
        <row r="116">
          <cell r="E116" t="str">
            <v>react-hooks</v>
          </cell>
        </row>
        <row r="117">
          <cell r="E117" t="str">
            <v>posthog-react-native</v>
          </cell>
        </row>
        <row r="118">
          <cell r="E118" t="str">
            <v>css-to-react-native-transform</v>
          </cell>
        </row>
        <row r="119">
          <cell r="E119" t="str">
            <v>react-native-actionsheet</v>
          </cell>
        </row>
        <row r="120">
          <cell r="E120" t="str">
            <v>react-native-tiktok</v>
          </cell>
        </row>
        <row r="121">
          <cell r="E121" t="str">
            <v>react-native-action-sheet</v>
          </cell>
        </row>
        <row r="122">
          <cell r="E122" t="str">
            <v>react-kakaosdk</v>
          </cell>
        </row>
        <row r="123">
          <cell r="E123" t="str">
            <v>agent</v>
          </cell>
        </row>
        <row r="124">
          <cell r="E124" t="str">
            <v>variance-plugin</v>
          </cell>
        </row>
        <row r="125">
          <cell r="E125" t="str">
            <v>discord-bot-server</v>
          </cell>
        </row>
        <row r="126">
          <cell r="E126" t="str">
            <v>rrweb-replay</v>
          </cell>
        </row>
        <row r="127">
          <cell r="E127" t="str">
            <v>rrweb-snapshot</v>
          </cell>
        </row>
        <row r="128">
          <cell r="E128" t="str">
            <v>node-server</v>
          </cell>
        </row>
        <row r="129">
          <cell r="E129" t="str">
            <v>react-native-devtools</v>
          </cell>
        </row>
        <row r="130">
          <cell r="E130" t="str">
            <v>plugin-server</v>
          </cell>
        </row>
        <row r="131">
          <cell r="E131" t="str">
            <v>rrweb-record</v>
          </cell>
        </row>
        <row r="132">
          <cell r="E132" t="str">
            <v>native</v>
          </cell>
        </row>
        <row r="133">
          <cell r="E133" t="str">
            <v>react-native-less-transformer</v>
          </cell>
        </row>
        <row r="134">
          <cell r="E134" t="str">
            <v>rrweb</v>
          </cell>
        </row>
        <row r="135">
          <cell r="E135" t="str">
            <v>posthog-js</v>
          </cell>
        </row>
        <row r="136">
          <cell r="E136" t="str">
            <v>web-dev-server</v>
          </cell>
        </row>
        <row r="137">
          <cell r="E137" t="str">
            <v>piscina</v>
          </cell>
        </row>
        <row r="138">
          <cell r="E138" t="str">
            <v>nuxt</v>
          </cell>
        </row>
        <row r="139">
          <cell r="E139" t="str">
            <v>rrweb-player</v>
          </cell>
        </row>
        <row r="140">
          <cell r="E140" t="str">
            <v>wizard</v>
          </cell>
        </row>
        <row r="141">
          <cell r="E141" t="str">
            <v>react-native-kakao-navi</v>
          </cell>
        </row>
        <row r="142">
          <cell r="E142" t="str">
            <v>siphash</v>
          </cell>
        </row>
        <row r="143">
          <cell r="E143" t="str">
            <v>twitter-followers-plugin</v>
          </cell>
        </row>
        <row r="144">
          <cell r="E144" t="str">
            <v>react-native-naver-login</v>
          </cell>
        </row>
        <row r="145">
          <cell r="E145" t="str">
            <v>openapi-generator</v>
          </cell>
        </row>
        <row r="146">
          <cell r="E146" t="str">
            <v>rrdom</v>
          </cell>
        </row>
        <row r="147">
          <cell r="E147" t="str">
            <v>hedgehog-mode</v>
          </cell>
        </row>
        <row r="148">
          <cell r="E148" t="str">
            <v>react-native-worklet-functions</v>
          </cell>
        </row>
        <row r="149">
          <cell r="E149" t="str">
            <v>expo-audio-session</v>
          </cell>
        </row>
        <row r="150">
          <cell r="E150" t="str">
            <v>poper-react-sdk</v>
          </cell>
        </row>
        <row r="151">
          <cell r="E151" t="str">
            <v>secret-scanner-wasm</v>
          </cell>
        </row>
        <row r="152">
          <cell r="E152" t="str">
            <v>csv-parse</v>
          </cell>
        </row>
        <row r="153">
          <cell r="E153" t="str">
            <v>node-keytar</v>
          </cell>
        </row>
        <row r="154">
          <cell r="E154" t="str">
            <v>tunnel-agent</v>
          </cell>
        </row>
        <row r="155">
          <cell r="E155" t="str">
            <v>pm-bin-macos-arm64</v>
          </cell>
        </row>
        <row r="156">
          <cell r="E156" t="str">
            <v>pm-bin-linux-x64</v>
          </cell>
        </row>
        <row r="157">
          <cell r="E157" t="str">
            <v>postman-collection-fork</v>
          </cell>
        </row>
        <row r="158">
          <cell r="E158" t="str">
            <v>postman-mcp-server</v>
          </cell>
        </row>
        <row r="159">
          <cell r="E159" t="str">
            <v>wdio-junit-reporter</v>
          </cell>
        </row>
        <row r="160">
          <cell r="E160" t="str">
            <v>aether-icons</v>
          </cell>
        </row>
        <row r="161">
          <cell r="E161" t="str">
            <v>postman-mcp-cli</v>
          </cell>
        </row>
        <row r="162">
          <cell r="E162" t="str">
            <v>pretty-ms</v>
          </cell>
        </row>
        <row r="163">
          <cell r="E163" t="str">
            <v>pm-bin-windows-x64</v>
          </cell>
        </row>
        <row r="164">
          <cell r="E164" t="str">
            <v>wdio-allure-reporter</v>
          </cell>
        </row>
        <row r="165">
          <cell r="E165" t="str">
            <v>final-node-keytar</v>
          </cell>
        </row>
        <row r="166">
          <cell r="E166" t="str">
            <v>pm-bin-macos-x64</v>
          </cell>
        </row>
        <row r="167">
          <cell r="E167" t="str">
            <v>my-angular-lib</v>
          </cell>
        </row>
        <row r="168">
          <cell r="E168" t="str">
            <v>capacitor-plugin-apptrackingios</v>
          </cell>
        </row>
        <row r="169">
          <cell r="E169" t="str">
            <v>capacitor-plugin-purchase</v>
          </cell>
        </row>
        <row r="170">
          <cell r="E170" t="str">
            <v>capacitor-purchase-history</v>
          </cell>
        </row>
        <row r="171">
          <cell r="E171" t="str">
            <v>capacitor-voice-recorder-wav</v>
          </cell>
        </row>
        <row r="172">
          <cell r="E172" t="str">
            <v>scgs-capacitor-subscribe</v>
          </cell>
        </row>
        <row r="173">
          <cell r="E173" t="str">
            <v>mcp-ui-client</v>
          </cell>
        </row>
        <row r="174">
          <cell r="E174" t="str">
            <v>capacitor-plugin-scgssigninwithgoogle</v>
          </cell>
        </row>
        <row r="175">
          <cell r="E175" t="str">
            <v>medusa-plugin-announcement</v>
          </cell>
        </row>
        <row r="176">
          <cell r="E176" t="str">
            <v>medusa-plugin-product-reviews</v>
          </cell>
        </row>
        <row r="177">
          <cell r="E177" t="str">
            <v>medusa-plugin-zalopay</v>
          </cell>
        </row>
        <row r="178">
          <cell r="E178" t="str">
            <v>scgsffcreator</v>
          </cell>
        </row>
        <row r="179">
          <cell r="E179" t="str">
            <v>habbit-e2e-test</v>
          </cell>
        </row>
        <row r="180">
          <cell r="E180" t="str">
            <v>medusa-plugin-logs</v>
          </cell>
        </row>
        <row r="181">
          <cell r="E181" t="str">
            <v>medusa-plugin-product-reviews-kvy</v>
          </cell>
        </row>
        <row r="182">
          <cell r="E182" t="str">
            <v>medusa-plugin-promotion</v>
          </cell>
        </row>
        <row r="183">
          <cell r="E183" t="str">
            <v>medusa-plugin-momo</v>
          </cell>
        </row>
        <row r="184">
          <cell r="E184" t="str">
            <v>components</v>
          </cell>
        </row>
        <row r="185">
          <cell r="E185" t="str">
            <v>medusa-plugin-announcement</v>
          </cell>
        </row>
        <row r="186">
          <cell r="E186" t="str">
            <v>cli</v>
          </cell>
        </row>
        <row r="187">
          <cell r="E187" t="str">
            <v>medusa-plugin-newsletter</v>
          </cell>
        </row>
        <row r="188">
          <cell r="E188" t="str">
            <v>medusa-plugin-management</v>
          </cell>
        </row>
        <row r="189">
          <cell r="E189" t="str">
            <v>web</v>
          </cell>
        </row>
        <row r="190">
          <cell r="E190" t="str">
            <v>create-hardhat3-app</v>
          </cell>
        </row>
        <row r="191">
          <cell r="E191" t="str">
            <v>test-hardhat-app</v>
          </cell>
        </row>
        <row r="192">
          <cell r="E192" t="str">
            <v>evm-checkcode-cli</v>
          </cell>
        </row>
        <row r="193">
          <cell r="E193" t="str">
            <v>gate-evm-tools-test</v>
          </cell>
        </row>
        <row r="194">
          <cell r="E194" t="str">
            <v>gate-evm-check-code2</v>
          </cell>
        </row>
        <row r="195">
          <cell r="E195" t="str">
            <v>web-types-htmx</v>
          </cell>
        </row>
        <row r="196">
          <cell r="E196" t="str">
            <v>test-foundry-app</v>
          </cell>
        </row>
        <row r="197">
          <cell r="E197" t="str">
            <v>web-types-lit</v>
          </cell>
        </row>
        <row r="198">
          <cell r="E198" t="str">
            <v>bun-plugin-httpfile</v>
          </cell>
        </row>
        <row r="199">
          <cell r="E199" t="str">
            <v>open2internet</v>
          </cell>
        </row>
        <row r="200">
          <cell r="E200" t="str">
            <v>vite-plugin-httpfile</v>
          </cell>
        </row>
        <row r="201">
          <cell r="E201" t="str">
            <v>vite-plugin-i18next-loader</v>
          </cell>
        </row>
        <row r="202">
          <cell r="E202" t="str">
            <v>blacklist</v>
          </cell>
        </row>
        <row r="203">
          <cell r="E203" t="str">
            <v>durin</v>
          </cell>
        </row>
        <row r="204">
          <cell r="E204" t="str">
            <v>renewal</v>
          </cell>
        </row>
        <row r="205">
          <cell r="E205" t="str">
            <v>cypress-metamask</v>
          </cell>
        </row>
        <row r="206">
          <cell r="E206" t="str">
            <v>bytecode-checker-cli</v>
          </cell>
        </row>
        <row r="207">
          <cell r="E207" t="str">
            <v>dnsprovejs</v>
          </cell>
        </row>
        <row r="208">
          <cell r="E208" t="str">
            <v>ccip-read-dns-gateway</v>
          </cell>
        </row>
        <row r="209">
          <cell r="E209" t="str">
            <v>ccip-read-cf-worker</v>
          </cell>
        </row>
        <row r="210">
          <cell r="E210" t="str">
            <v>dnssec-oracle-anchors</v>
          </cell>
        </row>
        <row r="211">
          <cell r="E211" t="str">
            <v>reverse-records</v>
          </cell>
        </row>
        <row r="212">
          <cell r="E212" t="str">
            <v>ens-test-env</v>
          </cell>
        </row>
        <row r="213">
          <cell r="E213" t="str">
            <v>hackathon-registrar</v>
          </cell>
        </row>
        <row r="214">
          <cell r="E214" t="str">
            <v>renewal-widget</v>
          </cell>
        </row>
        <row r="215">
          <cell r="E215" t="str">
            <v>crypto-addr-codec</v>
          </cell>
        </row>
        <row r="216">
          <cell r="E216" t="str">
            <v>solsha1</v>
          </cell>
        </row>
        <row r="217">
          <cell r="E217" t="str">
            <v>server-analytics</v>
          </cell>
        </row>
        <row r="218">
          <cell r="E218" t="str">
            <v>ui</v>
          </cell>
        </row>
        <row r="219">
          <cell r="E219" t="str">
            <v>test-utils</v>
          </cell>
        </row>
        <row r="220">
          <cell r="E220" t="str">
            <v>mock</v>
          </cell>
        </row>
        <row r="221">
          <cell r="E221" t="str">
            <v>ccip-read-router</v>
          </cell>
        </row>
        <row r="222">
          <cell r="E222" t="str">
            <v>babel-preset-zapier</v>
          </cell>
        </row>
        <row r="223">
          <cell r="E223" t="str">
            <v>hardhat-chai-matchers-viem</v>
          </cell>
        </row>
        <row r="224">
          <cell r="E224" t="str">
            <v>ccip-read-worker-viem</v>
          </cell>
        </row>
        <row r="225">
          <cell r="E225" t="str">
            <v>browserslist-config-zapier</v>
          </cell>
        </row>
        <row r="226">
          <cell r="E226" t="str">
            <v>zapier-sdk</v>
          </cell>
        </row>
        <row r="227">
          <cell r="E227" t="str">
            <v>stubtree</v>
          </cell>
        </row>
        <row r="228">
          <cell r="E228" t="str">
            <v>zapier-async-storage</v>
          </cell>
        </row>
        <row r="229">
          <cell r="E229" t="str">
            <v>ai-actions</v>
          </cell>
        </row>
        <row r="230">
          <cell r="E230" t="str">
            <v>mcp-integration</v>
          </cell>
        </row>
        <row r="231">
          <cell r="E231" t="str">
            <v>spectral-api-ruleset</v>
          </cell>
        </row>
        <row r="232">
          <cell r="E232" t="str">
            <v>address-encoder</v>
          </cell>
        </row>
        <row r="233">
          <cell r="E233" t="str">
            <v>redux-router-kit</v>
          </cell>
        </row>
        <row r="234">
          <cell r="E234" t="str">
            <v>eth-ens-namehash</v>
          </cell>
        </row>
        <row r="235">
          <cell r="E235" t="str">
            <v>zapier-scripts</v>
          </cell>
        </row>
        <row r="236">
          <cell r="E236" t="str">
            <v>buffer</v>
          </cell>
        </row>
        <row r="237">
          <cell r="E237" t="str">
            <v>thorin</v>
          </cell>
        </row>
        <row r="238">
          <cell r="E238" t="str">
            <v>zapier-platform-legacy-scripting-runner</v>
          </cell>
        </row>
        <row r="239">
          <cell r="E239" t="str">
            <v>zapier-platform-schema</v>
          </cell>
        </row>
        <row r="240">
          <cell r="E240" t="str">
            <v>dnssecoraclejs</v>
          </cell>
        </row>
        <row r="241">
          <cell r="E241" t="str">
            <v>zapier-platform-core</v>
          </cell>
        </row>
        <row r="242">
          <cell r="E242" t="str">
            <v>op-resolver-contracts</v>
          </cell>
        </row>
        <row r="243">
          <cell r="E243" t="str">
            <v>ens-archived-contracts</v>
          </cell>
        </row>
        <row r="244">
          <cell r="E244" t="str">
            <v>ensjs</v>
          </cell>
        </row>
        <row r="245">
          <cell r="E245" t="str">
            <v>subdomain-registrar</v>
          </cell>
        </row>
        <row r="246">
          <cell r="E246" t="str">
            <v>unruggable-gateways</v>
          </cell>
        </row>
        <row r="247">
          <cell r="E247" t="str">
            <v>web3modal</v>
          </cell>
        </row>
        <row r="248">
          <cell r="E248" t="str">
            <v>zapier-platform-cli</v>
          </cell>
        </row>
        <row r="249">
          <cell r="E249" t="str">
            <v>ens-contracts</v>
          </cell>
        </row>
        <row r="250">
          <cell r="E250" t="str">
            <v>react-ens-address</v>
          </cell>
        </row>
        <row r="251">
          <cell r="E251" t="str">
            <v>curvearithmetics</v>
          </cell>
        </row>
        <row r="252">
          <cell r="E252" t="str">
            <v>secret-scrubber</v>
          </cell>
        </row>
        <row r="253">
          <cell r="E253" t="str">
            <v>hardhat-toolbox-viem-extended</v>
          </cell>
        </row>
        <row r="254">
          <cell r="E254" t="str">
            <v>ethereum-ens</v>
          </cell>
        </row>
        <row r="255">
          <cell r="E255" t="str">
            <v>durin-middleware</v>
          </cell>
        </row>
        <row r="256">
          <cell r="E256" t="str">
            <v>unicode-confusables</v>
          </cell>
        </row>
        <row r="257">
          <cell r="E257" t="str">
            <v>ensjs-react</v>
          </cell>
        </row>
        <row r="258">
          <cell r="E258" t="str">
            <v>content-hash</v>
          </cell>
        </row>
        <row r="259">
          <cell r="E259" t="str">
            <v>ens-avatar</v>
          </cell>
        </row>
        <row r="260">
          <cell r="E260" t="str">
            <v>ai-actions-react</v>
          </cell>
        </row>
        <row r="261">
          <cell r="E261" t="str">
            <v>eslint-plugin-zapier</v>
          </cell>
        </row>
        <row r="262">
          <cell r="E262" t="str">
            <v>offchain-resolver-contracts</v>
          </cell>
        </row>
        <row r="263">
          <cell r="E263" t="str">
            <v>ens-validation</v>
          </cell>
        </row>
        <row r="264">
          <cell r="E264" t="str">
            <v>name-wrapper</v>
          </cell>
        </row>
        <row r="265">
          <cell r="E265" t="str">
            <v>n8n-nodes-pgp</v>
          </cell>
        </row>
        <row r="266">
          <cell r="E266" t="str">
            <v>app-version-checker</v>
          </cell>
        </row>
        <row r="267">
          <cell r="E267" t="str">
            <v>claude-token-updater</v>
          </cell>
        </row>
        <row r="268">
          <cell r="E268" t="str">
            <v>n8n-nodes-tmdb</v>
          </cell>
        </row>
        <row r="269">
          <cell r="E269" t="str">
            <v>devstart-cli</v>
          </cell>
        </row>
        <row r="270">
          <cell r="E270" t="str">
            <v>skills-use</v>
          </cell>
        </row>
        <row r="271">
          <cell r="E271" t="str">
            <v>inspector</v>
          </cell>
        </row>
        <row r="272">
          <cell r="E272" t="str">
            <v>zuper-sdk</v>
          </cell>
        </row>
        <row r="273">
          <cell r="E273" t="str">
            <v>zuper-stream</v>
          </cell>
        </row>
        <row r="274">
          <cell r="E274" t="str">
            <v>mcp-use</v>
          </cell>
        </row>
        <row r="275">
          <cell r="E275" t="str">
            <v>create-mcp-use-app</v>
          </cell>
        </row>
        <row r="276">
          <cell r="E276" t="str">
            <v>mcp-use</v>
          </cell>
        </row>
        <row r="277">
          <cell r="E277" t="str">
            <v>cli</v>
          </cell>
        </row>
        <row r="278">
          <cell r="E278" t="str">
            <v>zuper-cli</v>
          </cell>
        </row>
        <row r="279">
          <cell r="E279" t="str">
            <v>caret-cli</v>
          </cell>
        </row>
        <row r="280">
          <cell r="E280" t="str">
            <v>cpu-instructions</v>
          </cell>
        </row>
        <row r="281">
          <cell r="E281" t="str">
            <v>lite-serper-mcp-server</v>
          </cell>
        </row>
        <row r="282">
          <cell r="E282" t="str">
            <v>core</v>
          </cell>
        </row>
        <row r="283">
          <cell r="E283" t="str">
            <v>jan-browser</v>
          </cell>
        </row>
        <row r="284">
          <cell r="E284" t="str">
            <v>exact-ticker</v>
          </cell>
        </row>
        <row r="285">
          <cell r="E285" t="str">
            <v>react-library-setup</v>
          </cell>
        </row>
        <row r="286">
          <cell r="E286" t="str">
            <v>orbit-soap</v>
          </cell>
        </row>
        <row r="287">
          <cell r="E287" t="str">
            <v>mapbox-gl-draw-scale-rotate-mode</v>
          </cell>
        </row>
        <row r="288">
          <cell r="E288" t="str">
            <v>token.js-fork</v>
          </cell>
        </row>
        <row r="289">
          <cell r="E289" t="str">
            <v>react-component-taggers</v>
          </cell>
        </row>
        <row r="290">
          <cell r="E290" t="str">
            <v>cortex-js</v>
          </cell>
        </row>
        <row r="291">
          <cell r="E291" t="str">
            <v>orbit-nebula-editor</v>
          </cell>
        </row>
        <row r="292">
          <cell r="E292" t="str">
            <v>pathfinder-ui-css</v>
          </cell>
        </row>
        <row r="293">
          <cell r="E293" t="str">
            <v>jsdt</v>
          </cell>
        </row>
        <row r="294">
          <cell r="E294" t="str">
            <v>atrix-redis</v>
          </cell>
        </row>
        <row r="295">
          <cell r="E295" t="str">
            <v>eslint-config-trigo</v>
          </cell>
        </row>
        <row r="296">
          <cell r="E296" t="str">
            <v>atrix-orientdb</v>
          </cell>
        </row>
        <row r="297">
          <cell r="E297" t="str">
            <v>node-soap</v>
          </cell>
        </row>
        <row r="298">
          <cell r="E298" t="str">
            <v>eslint-config-trigo</v>
          </cell>
        </row>
        <row r="299">
          <cell r="E299" t="str">
            <v>bool-expressions</v>
          </cell>
        </row>
        <row r="300">
          <cell r="E300" t="str">
            <v>atrix-pubsub</v>
          </cell>
        </row>
        <row r="301">
          <cell r="E301" t="str">
            <v>atrix-elasticsearch</v>
          </cell>
        </row>
        <row r="302">
          <cell r="E302" t="str">
            <v>hapi-auth-signedlink</v>
          </cell>
        </row>
        <row r="303">
          <cell r="E303" t="str">
            <v>keycloak-api</v>
          </cell>
        </row>
        <row r="304">
          <cell r="E304" t="str">
            <v>atrix-soap</v>
          </cell>
        </row>
        <row r="305">
          <cell r="E305" t="str">
            <v>atrix-swagger</v>
          </cell>
        </row>
        <row r="306">
          <cell r="E306" t="str">
            <v>atrix-acl</v>
          </cell>
        </row>
        <row r="307">
          <cell r="E307" t="str">
            <v>atrix</v>
          </cell>
        </row>
        <row r="308">
          <cell r="E308" t="str">
            <v>redux-forge</v>
          </cell>
        </row>
        <row r="309">
          <cell r="E309" t="str">
            <v>atrix-mongoose</v>
          </cell>
        </row>
        <row r="310">
          <cell r="E310" t="str">
            <v>atrix</v>
          </cell>
        </row>
        <row r="311">
          <cell r="E311" t="str">
            <v>orbit-boxicons</v>
          </cell>
        </row>
        <row r="312">
          <cell r="E312" t="str">
            <v>atrix-mongoose</v>
          </cell>
        </row>
        <row r="313">
          <cell r="E313" t="str">
            <v>bool-expressions</v>
          </cell>
        </row>
        <row r="314">
          <cell r="E314" t="str">
            <v>react-element-prompt-inspector</v>
          </cell>
        </row>
        <row r="315">
          <cell r="E315" t="str">
            <v>trigo-react-app</v>
          </cell>
        </row>
        <row r="316">
          <cell r="E316" t="str">
            <v>trigo-hapijs</v>
          </cell>
        </row>
        <row r="317">
          <cell r="E317" t="str">
            <v>fsm</v>
          </cell>
        </row>
        <row r="318">
          <cell r="E318" t="str">
            <v>command-irail</v>
          </cell>
        </row>
        <row r="319">
          <cell r="E319" t="str">
            <v>mapbox-gl-draw-cut-polygon-mode</v>
          </cell>
        </row>
        <row r="320">
          <cell r="E320" t="str">
            <v>atrix-postgres</v>
          </cell>
        </row>
        <row r="321">
          <cell r="E321" t="str">
            <v>time-slider</v>
          </cell>
        </row>
        <row r="322">
          <cell r="E322" t="str">
            <v>orbit-components</v>
          </cell>
        </row>
        <row r="323">
          <cell r="E323" t="str">
            <v>orbit-nebula-draw-tools</v>
          </cell>
        </row>
        <row r="324">
          <cell r="E324" t="str">
            <v>typeorm-orbit</v>
          </cell>
        </row>
        <row r="325">
          <cell r="E325" t="str">
            <v>connector-parse</v>
          </cell>
        </row>
        <row r="326">
          <cell r="E326" t="str">
            <v>imagesloaded</v>
          </cell>
        </row>
        <row r="327">
          <cell r="E327" t="str">
            <v>market-data</v>
          </cell>
        </row>
        <row r="328">
          <cell r="E328" t="str">
            <v>gitsafe</v>
          </cell>
        </row>
        <row r="329">
          <cell r="E329" t="str">
            <v>error-handler</v>
          </cell>
        </row>
        <row r="330">
          <cell r="E330" t="str">
            <v>bloom</v>
          </cell>
        </row>
        <row r="331">
          <cell r="E331" t="str">
            <v>okta-react-router-6</v>
          </cell>
        </row>
        <row r="332">
          <cell r="E332" t="str">
            <v>designstudiouiux</v>
          </cell>
        </row>
        <row r="333">
          <cell r="E333" t="str">
            <v>itobuz-angular</v>
          </cell>
        </row>
        <row r="334">
          <cell r="E334" t="str">
            <v>protocol-contracts-svm-idl</v>
          </cell>
        </row>
        <row r="335">
          <cell r="E335" t="str">
            <v>ito-button</v>
          </cell>
        </row>
        <row r="336">
          <cell r="E336" t="str">
            <v>cucumber_client</v>
          </cell>
        </row>
        <row r="337">
          <cell r="E337" t="str">
            <v>blinqio-executions-cli</v>
          </cell>
        </row>
        <row r="338">
          <cell r="E338" t="str">
            <v>itobuz-angular-auth</v>
          </cell>
        </row>
        <row r="339">
          <cell r="E339" t="str">
            <v>ai-qa-logic</v>
          </cell>
        </row>
        <row r="340">
          <cell r="E340" t="str">
            <v>axios-timed</v>
          </cell>
        </row>
        <row r="341">
          <cell r="E341" t="str">
            <v>react-native-email</v>
          </cell>
        </row>
        <row r="342">
          <cell r="E342" t="str">
            <v>tenacious-fetch</v>
          </cell>
        </row>
        <row r="343">
          <cell r="E343" t="str">
            <v>kill-port</v>
          </cell>
        </row>
        <row r="344">
          <cell r="E344" t="str">
            <v>jacob-zuma</v>
          </cell>
        </row>
        <row r="345">
          <cell r="E345" t="str">
            <v>luno-api</v>
          </cell>
        </row>
        <row r="346">
          <cell r="E346" t="str">
            <v>eslint-config</v>
          </cell>
        </row>
        <row r="347">
          <cell r="E347" t="str">
            <v>sort-by-distance</v>
          </cell>
        </row>
        <row r="348">
          <cell r="E348" t="str">
            <v>just-toasty</v>
          </cell>
        </row>
        <row r="349">
          <cell r="E349" t="str">
            <v>image-to-uri</v>
          </cell>
        </row>
        <row r="350">
          <cell r="E350" t="str">
            <v>react-native-phone-call</v>
          </cell>
        </row>
        <row r="351">
          <cell r="E351" t="str">
            <v>formik-error-focus</v>
          </cell>
        </row>
        <row r="352">
          <cell r="E352" t="str">
            <v>jquery-bindings</v>
          </cell>
        </row>
        <row r="353">
          <cell r="E353" t="str">
            <v>babel-preset</v>
          </cell>
        </row>
        <row r="354">
          <cell r="E354" t="str">
            <v>barebones-css</v>
          </cell>
        </row>
        <row r="355">
          <cell r="E355" t="str">
            <v>coinmarketcap-api</v>
          </cell>
        </row>
        <row r="356">
          <cell r="E356" t="str">
            <v>license-o-matic</v>
          </cell>
        </row>
        <row r="357">
          <cell r="E357" t="str">
            <v>api-client</v>
          </cell>
        </row>
        <row r="358">
          <cell r="E358" t="str">
            <v>pico-uid</v>
          </cell>
        </row>
        <row r="359">
          <cell r="E359" t="str">
            <v>hyperterm-hipster</v>
          </cell>
        </row>
        <row r="360">
          <cell r="E360" t="str">
            <v>set-nested-prop</v>
          </cell>
        </row>
        <row r="361">
          <cell r="E361" t="str">
            <v>bytes-to-x</v>
          </cell>
        </row>
        <row r="362">
          <cell r="E362" t="str">
            <v>enforce-branch-name</v>
          </cell>
        </row>
        <row r="363">
          <cell r="E363" t="str">
            <v>fittxt</v>
          </cell>
        </row>
        <row r="364">
          <cell r="E364" t="str">
            <v>get-them-args</v>
          </cell>
        </row>
        <row r="365">
          <cell r="E365" t="str">
            <v>react-native-retriable-fetch</v>
          </cell>
        </row>
        <row r="366">
          <cell r="E366" t="str">
            <v>svelte-autocomplete-select</v>
          </cell>
        </row>
        <row r="367">
          <cell r="E367" t="str">
            <v>feature-flip</v>
          </cell>
        </row>
        <row r="368">
          <cell r="E368" t="str">
            <v>lint-staged-imagemin</v>
          </cell>
        </row>
        <row r="369">
          <cell r="E369" t="str">
            <v>react-native-view-finder</v>
          </cell>
        </row>
        <row r="370">
          <cell r="E370" t="str">
            <v>formik-store</v>
          </cell>
        </row>
        <row r="371">
          <cell r="E371" t="str">
            <v>shell-exec</v>
          </cell>
        </row>
        <row r="372">
          <cell r="E372" t="str">
            <v>react-native-log-level</v>
          </cell>
        </row>
        <row r="373">
          <cell r="E373" t="str">
            <v>web-analytics</v>
          </cell>
        </row>
        <row r="374">
          <cell r="E374" t="str">
            <v>react-native-jam-icons</v>
          </cell>
        </row>
        <row r="375">
          <cell r="E375" t="str">
            <v>eslint-config</v>
          </cell>
        </row>
        <row r="376">
          <cell r="E376" t="str">
            <v>parcel-plugin-asset-copier</v>
          </cell>
        </row>
        <row r="377">
          <cell r="E377" t="str">
            <v>react-native-websocket</v>
          </cell>
        </row>
        <row r="378">
          <cell r="E378" t="str">
            <v>ra-data-firebase</v>
          </cell>
        </row>
        <row r="379">
          <cell r="E379" t="str">
            <v>react-jam-icons</v>
          </cell>
        </row>
        <row r="380">
          <cell r="E380" t="str">
            <v>react-native-fetch</v>
          </cell>
        </row>
        <row r="381">
          <cell r="E381" t="str">
            <v>design-system</v>
          </cell>
        </row>
        <row r="382">
          <cell r="E382" t="str">
            <v>gatsby-plugin-cname</v>
          </cell>
        </row>
        <row r="383">
          <cell r="E383" t="str">
            <v>nuxt-ux</v>
          </cell>
        </row>
        <row r="384">
          <cell r="E384" t="str">
            <v>react-native-datepicker-modal</v>
          </cell>
        </row>
        <row r="385">
          <cell r="E385" t="str">
            <v>undefsafe-typed</v>
          </cell>
        </row>
        <row r="386">
          <cell r="E386" t="str">
            <v>chrome-extension-downloads</v>
          </cell>
        </row>
        <row r="387">
          <cell r="E387" t="str">
            <v>nuxt-socket.io</v>
          </cell>
        </row>
        <row r="388">
          <cell r="E388" t="str">
            <v>fuzzy-finder</v>
          </cell>
        </row>
        <row r="389">
          <cell r="E389" t="str">
            <v>sa-company-registration-number-regex</v>
          </cell>
        </row>
        <row r="390">
          <cell r="E390" t="str">
            <v>flapstacks</v>
          </cell>
        </row>
        <row r="391">
          <cell r="E391" t="str">
            <v>react-keycloak-context</v>
          </cell>
        </row>
        <row r="392">
          <cell r="E392" t="str">
            <v>react-qr-image</v>
          </cell>
        </row>
        <row r="393">
          <cell r="E393" t="str">
            <v>react-progressbar</v>
          </cell>
        </row>
        <row r="394">
          <cell r="E394" t="str">
            <v>schoolbus</v>
          </cell>
        </row>
        <row r="395">
          <cell r="E395" t="str">
            <v>json</v>
          </cell>
        </row>
        <row r="396">
          <cell r="E396" t="str">
            <v>react-native-get-pixel-dimensions</v>
          </cell>
        </row>
        <row r="397">
          <cell r="E397" t="str">
            <v>nanoreset</v>
          </cell>
        </row>
        <row r="398">
          <cell r="E398" t="str">
            <v>next-circular-dependency</v>
          </cell>
        </row>
        <row r="399">
          <cell r="E399" t="str">
            <v>url-encode-decode</v>
          </cell>
        </row>
        <row r="400">
          <cell r="E400" t="str">
            <v>axios-cancelable</v>
          </cell>
        </row>
        <row r="401">
          <cell r="E401" t="str">
            <v>compare-obj</v>
          </cell>
        </row>
        <row r="402">
          <cell r="E402" t="str">
            <v>wenk</v>
          </cell>
        </row>
        <row r="403">
          <cell r="E403" t="str">
            <v>haufe-axera-api-client</v>
          </cell>
        </row>
        <row r="404">
          <cell r="E404" t="str">
            <v>obj-to-css</v>
          </cell>
        </row>
        <row r="405">
          <cell r="E405" t="str">
            <v>sa-id-gen</v>
          </cell>
        </row>
        <row r="406">
          <cell r="E406" t="str">
            <v>api-client</v>
          </cell>
        </row>
        <row r="407">
          <cell r="E407" t="str">
            <v>validation-schemas</v>
          </cell>
        </row>
        <row r="408">
          <cell r="E408" t="str">
            <v>flatten-unflatten</v>
          </cell>
        </row>
        <row r="409">
          <cell r="E409" t="str">
            <v>stoor</v>
          </cell>
        </row>
        <row r="410">
          <cell r="E410" t="str">
            <v>flows-step-jsontoxml</v>
          </cell>
        </row>
        <row r="411">
          <cell r="E411" t="str">
            <v>concerto-analysis</v>
          </cell>
        </row>
        <row r="412">
          <cell r="E412" t="str">
            <v>hope-mapboxdraw</v>
          </cell>
        </row>
        <row r="413">
          <cell r="E413" t="str">
            <v>count-it-down</v>
          </cell>
        </row>
        <row r="414">
          <cell r="E414" t="str">
            <v>hopedraw</v>
          </cell>
        </row>
        <row r="415">
          <cell r="E415" t="str">
            <v>markdown-it-cicero</v>
          </cell>
        </row>
        <row r="416">
          <cell r="E416" t="str">
            <v>piclite</v>
          </cell>
        </row>
        <row r="417">
          <cell r="E417" t="str">
            <v>react-swiper</v>
          </cell>
        </row>
        <row r="418">
          <cell r="E418" t="str">
            <v>browser-sync-plugin</v>
          </cell>
        </row>
        <row r="419">
          <cell r="E419" t="str">
            <v>generator-meteor-stock</v>
          </cell>
        </row>
        <row r="420">
          <cell r="E420" t="str">
            <v>react-loader</v>
          </cell>
        </row>
        <row r="421">
          <cell r="E421" t="str">
            <v>benmostyn-frame-print</v>
          </cell>
        </row>
        <row r="422">
          <cell r="E422" t="str">
            <v>react-pagination</v>
          </cell>
        </row>
        <row r="423">
          <cell r="E423" t="str">
            <v>anthropic</v>
          </cell>
        </row>
        <row r="424">
          <cell r="E424" t="str">
            <v>voice-types</v>
          </cell>
        </row>
        <row r="425">
          <cell r="E425" t="str">
            <v>default-prompt-wrappers</v>
          </cell>
        </row>
        <row r="426">
          <cell r="E426" t="str">
            <v>npm-package-json-lint-config</v>
          </cell>
        </row>
        <row r="427">
          <cell r="E427" t="str">
            <v>nestjs-mongodb</v>
          </cell>
        </row>
        <row r="428">
          <cell r="E428" t="str">
            <v>tsconfig</v>
          </cell>
        </row>
        <row r="429">
          <cell r="E429" t="str">
            <v>test-common</v>
          </cell>
        </row>
        <row r="430">
          <cell r="E430" t="str">
            <v>husky-config</v>
          </cell>
        </row>
        <row r="431">
          <cell r="E431" t="str">
            <v>commitlint-config</v>
          </cell>
        </row>
        <row r="432">
          <cell r="E432" t="str">
            <v>git-branch-check</v>
          </cell>
        </row>
        <row r="433">
          <cell r="E433" t="str">
            <v>normal-store</v>
          </cell>
        </row>
        <row r="434">
          <cell r="E434" t="str">
            <v>prettier-config</v>
          </cell>
        </row>
        <row r="435">
          <cell r="E435" t="str">
            <v>stylelint-config</v>
          </cell>
        </row>
        <row r="436">
          <cell r="E436" t="str">
            <v>vf-oss-template</v>
          </cell>
        </row>
        <row r="437">
          <cell r="E437" t="str">
            <v>storybook-config</v>
          </cell>
        </row>
        <row r="438">
          <cell r="E438" t="str">
            <v>verror</v>
          </cell>
        </row>
        <row r="439">
          <cell r="E439" t="str">
            <v>alexa-types</v>
          </cell>
        </row>
        <row r="440">
          <cell r="E440" t="str">
            <v>nestjs-timeout</v>
          </cell>
        </row>
        <row r="441">
          <cell r="E441" t="str">
            <v>serverless-plugin-typescript</v>
          </cell>
        </row>
        <row r="442">
          <cell r="E442" t="str">
            <v>voiceflow-types</v>
          </cell>
        </row>
        <row r="443">
          <cell r="E443" t="str">
            <v>shelf-jwt-sessions</v>
          </cell>
        </row>
        <row r="444">
          <cell r="E444" t="str">
            <v>react</v>
          </cell>
        </row>
        <row r="445">
          <cell r="E445" t="str">
            <v>base-types</v>
          </cell>
        </row>
        <row r="446">
          <cell r="E446" t="str">
            <v>eslint-config</v>
          </cell>
        </row>
        <row r="447">
          <cell r="E447" t="str">
            <v>fetch</v>
          </cell>
        </row>
        <row r="448">
          <cell r="E448" t="str">
            <v>common</v>
          </cell>
        </row>
        <row r="449">
          <cell r="E449" t="str">
            <v>eslint-plugin</v>
          </cell>
        </row>
        <row r="450">
          <cell r="E450" t="str">
            <v>exception</v>
          </cell>
        </row>
        <row r="451">
          <cell r="E451" t="str">
            <v>dtos-interact</v>
          </cell>
        </row>
        <row r="452">
          <cell r="E452" t="str">
            <v>google-types</v>
          </cell>
        </row>
        <row r="453">
          <cell r="E453" t="str">
            <v>nestjs-common</v>
          </cell>
        </row>
        <row r="454">
          <cell r="E454" t="str">
            <v>pino</v>
          </cell>
        </row>
        <row r="455">
          <cell r="E455" t="str">
            <v>sdk-runtime</v>
          </cell>
        </row>
        <row r="456">
          <cell r="E456" t="str">
            <v>nestjs-rate-limit</v>
          </cell>
        </row>
        <row r="457">
          <cell r="E457" t="str">
            <v>openai</v>
          </cell>
        </row>
        <row r="458">
          <cell r="E458" t="str">
            <v>dialogflow-es</v>
          </cell>
        </row>
        <row r="459">
          <cell r="E459" t="str">
            <v>widget</v>
          </cell>
        </row>
        <row r="460">
          <cell r="E460" t="str">
            <v>arc-cli-fc</v>
          </cell>
        </row>
        <row r="461">
          <cell r="E461" t="str">
            <v>composite-reducer</v>
          </cell>
        </row>
        <row r="462">
          <cell r="E462" t="str">
            <v>bidirectional-adapter</v>
          </cell>
        </row>
        <row r="463">
          <cell r="E463" t="str">
            <v>express-graphql-proxy</v>
          </cell>
        </row>
        <row r="464">
          <cell r="E464" t="str">
            <v>json-to-graphql</v>
          </cell>
        </row>
        <row r="465">
          <cell r="E465" t="str">
            <v>body-parser</v>
          </cell>
        </row>
        <row r="466">
          <cell r="E466" t="str">
            <v>logger</v>
          </cell>
        </row>
        <row r="467">
          <cell r="E467" t="str">
            <v>eslint-config-antstack</v>
          </cell>
        </row>
        <row r="468">
          <cell r="E468" t="str">
            <v>vitest-config</v>
          </cell>
        </row>
        <row r="469">
          <cell r="E469" t="str">
            <v>core</v>
          </cell>
        </row>
        <row r="470">
          <cell r="E470" t="str">
            <v>use-debounce</v>
          </cell>
        </row>
        <row r="471">
          <cell r="E471" t="str">
            <v>api-sdk</v>
          </cell>
        </row>
        <row r="472">
          <cell r="E472" t="str">
            <v>core</v>
          </cell>
        </row>
        <row r="473">
          <cell r="E473" t="str">
            <v>react</v>
          </cell>
        </row>
        <row r="474">
          <cell r="E474" t="str">
            <v>semantic-release-config</v>
          </cell>
        </row>
        <row r="475">
          <cell r="E475" t="str">
            <v>vite-config</v>
          </cell>
        </row>
        <row r="476">
          <cell r="E476" t="str">
            <v>circleci-config-sdk-orb-import</v>
          </cell>
        </row>
        <row r="477">
          <cell r="E477" t="str">
            <v>backend-utils</v>
          </cell>
        </row>
        <row r="478">
          <cell r="E478" t="str">
            <v>slate-serializer</v>
          </cell>
        </row>
        <row r="479">
          <cell r="E479" t="str">
            <v>google-dfes-types</v>
          </cell>
        </row>
        <row r="480">
          <cell r="E480" t="str">
            <v>n8n-nodes-viral-app</v>
          </cell>
        </row>
        <row r="481">
          <cell r="E481" t="str">
            <v>markdown-docx</v>
          </cell>
        </row>
        <row r="482">
          <cell r="E482" t="str">
            <v>flows-step-sendgridemail</v>
          </cell>
        </row>
        <row r="483">
          <cell r="E483" t="str">
            <v>firestore-repo-service</v>
          </cell>
        </row>
        <row r="484">
          <cell r="E484" t="str">
            <v>sleekshop-js</v>
          </cell>
        </row>
        <row r="485">
          <cell r="E485" t="str">
            <v>invo</v>
          </cell>
        </row>
        <row r="486">
          <cell r="E486" t="str">
            <v>jsonsurge</v>
          </cell>
        </row>
        <row r="487">
          <cell r="E487" t="str">
            <v>mon-package-react-typescript</v>
          </cell>
        </row>
        <row r="488">
          <cell r="E488" t="str">
            <v>rediff</v>
          </cell>
        </row>
        <row r="489">
          <cell r="E489" t="str">
            <v>solomon-api-stories</v>
          </cell>
        </row>
        <row r="490">
          <cell r="E490" t="str">
            <v>solomon-v3-stories</v>
          </cell>
        </row>
        <row r="491">
          <cell r="E491" t="str">
            <v>solomon-v3-ui-wrapper</v>
          </cell>
        </row>
        <row r="492">
          <cell r="E492" t="str">
            <v>tcsp-draw-test</v>
          </cell>
        </row>
        <row r="493">
          <cell r="E493" t="str">
            <v>uplandui</v>
          </cell>
        </row>
      </sheetData>
      <sheetData sheetId="6"/>
      <sheetData sheetId="7">
        <row r="1">
          <cell r="E1" t="str">
            <v>Library</v>
          </cell>
        </row>
        <row r="2">
          <cell r="E2" t="str">
            <v>ngx-perfect-scrollbar</v>
          </cell>
        </row>
        <row r="3">
          <cell r="E3" t="str">
            <v>ngx-virtual-scroller</v>
          </cell>
        </row>
        <row r="4">
          <cell r="E4" t="str">
            <v>common</v>
          </cell>
        </row>
        <row r="5">
          <cell r="E5" t="str">
            <v>config-eslint</v>
          </cell>
        </row>
        <row r="6">
          <cell r="E6" t="str">
            <v>config-eslint</v>
          </cell>
        </row>
        <row r="7">
          <cell r="E7" t="str">
            <v>config-ts</v>
          </cell>
        </row>
        <row r="8">
          <cell r="E8" t="str">
            <v>config-ts</v>
          </cell>
        </row>
        <row r="9">
          <cell r="E9" t="str">
            <v>db-context</v>
          </cell>
        </row>
        <row r="10">
          <cell r="E10" t="str">
            <v>di-node</v>
          </cell>
        </row>
        <row r="11">
          <cell r="E11" t="str">
            <v>di</v>
          </cell>
        </row>
        <row r="12">
          <cell r="E12" t="str">
            <v>di</v>
          </cell>
        </row>
        <row r="13">
          <cell r="E13" t="str">
            <v>eslint</v>
          </cell>
        </row>
        <row r="14">
          <cell r="E14" t="str">
            <v>eslint</v>
          </cell>
        </row>
        <row r="15">
          <cell r="E15" t="str">
            <v>fastify-http-server</v>
          </cell>
        </row>
        <row r="16">
          <cell r="E16" t="str">
            <v>fastify-http-server</v>
          </cell>
        </row>
        <row r="17">
          <cell r="E17" t="str">
            <v>http-server</v>
          </cell>
        </row>
        <row r="18">
          <cell r="E18" t="str">
            <v>http-server</v>
          </cell>
        </row>
        <row r="19">
          <cell r="E19" t="str">
            <v>openapi</v>
          </cell>
        </row>
        <row r="20">
          <cell r="E20" t="str">
            <v>openapi</v>
          </cell>
        </row>
        <row r="21">
          <cell r="E21" t="str">
            <v>package-base</v>
          </cell>
        </row>
        <row r="22">
          <cell r="E22" t="str">
            <v>package-base</v>
          </cell>
        </row>
        <row r="23">
          <cell r="E23" t="str">
            <v>prettier</v>
          </cell>
        </row>
        <row r="24">
          <cell r="E24" t="str">
            <v>prettier</v>
          </cell>
        </row>
        <row r="25">
          <cell r="E25" t="str">
            <v>slf</v>
          </cell>
        </row>
        <row r="26">
          <cell r="E26" t="str">
            <v>slf</v>
          </cell>
        </row>
        <row r="27">
          <cell r="E27" t="str">
            <v>ssl-info</v>
          </cell>
        </row>
        <row r="28">
          <cell r="E28" t="str">
            <v>ssl-info</v>
          </cell>
        </row>
        <row r="29">
          <cell r="E29" t="str">
            <v>web-app</v>
          </cell>
        </row>
        <row r="30">
          <cell r="E30" t="str">
            <v>web-app</v>
          </cell>
        </row>
        <row r="31">
          <cell r="E31" t="str">
            <v>commitlint</v>
          </cell>
        </row>
        <row r="32">
          <cell r="E32" t="str">
            <v>commitlint</v>
          </cell>
        </row>
        <row r="33">
          <cell r="E33" t="str">
            <v>falcon-shoelace</v>
          </cell>
        </row>
        <row r="34">
          <cell r="E34" t="str">
            <v>falcon-shoelace</v>
          </cell>
        </row>
        <row r="35">
          <cell r="E35" t="str">
            <v>foundry-js</v>
          </cell>
        </row>
        <row r="36">
          <cell r="E36" t="str">
            <v>foundry-js</v>
          </cell>
        </row>
        <row r="37">
          <cell r="E37" t="str">
            <v>glide-core</v>
          </cell>
        </row>
        <row r="38">
          <cell r="E38" t="str">
            <v>glide-core</v>
          </cell>
        </row>
        <row r="39">
          <cell r="E39" t="str">
            <v>logscale-dashboard</v>
          </cell>
        </row>
        <row r="40">
          <cell r="E40" t="str">
            <v>logscale-dashboard</v>
          </cell>
        </row>
        <row r="41">
          <cell r="E41" t="str">
            <v>logscale-file-editor</v>
          </cell>
        </row>
        <row r="42">
          <cell r="E42" t="str">
            <v>logscale-file-editor</v>
          </cell>
        </row>
        <row r="43">
          <cell r="E43" t="str">
            <v>logscale-parser-edit</v>
          </cell>
        </row>
        <row r="44">
          <cell r="E44" t="str">
            <v>logscale-parser-edit</v>
          </cell>
        </row>
        <row r="45">
          <cell r="E45" t="str">
            <v>logscale-search</v>
          </cell>
        </row>
        <row r="46">
          <cell r="E46" t="str">
            <v>logscale-search</v>
          </cell>
        </row>
        <row r="47">
          <cell r="E47" t="str">
            <v>tailwind-toucan-base</v>
          </cell>
        </row>
        <row r="48">
          <cell r="E48" t="str">
            <v>tailwind-toucan-base</v>
          </cell>
        </row>
        <row r="49">
          <cell r="E49" t="str">
            <v>deluge</v>
          </cell>
        </row>
        <row r="50">
          <cell r="E50" t="str">
            <v>deluge</v>
          </cell>
        </row>
        <row r="51">
          <cell r="E51" t="str">
            <v>golang-template</v>
          </cell>
        </row>
        <row r="52">
          <cell r="E52" t="str">
            <v>golang-template</v>
          </cell>
        </row>
        <row r="53">
          <cell r="E53" t="str">
            <v>magnet-link</v>
          </cell>
        </row>
        <row r="54">
          <cell r="E54" t="str">
            <v>magnet-link</v>
          </cell>
        </row>
        <row r="55">
          <cell r="E55" t="str">
            <v>ngx-codemirror</v>
          </cell>
        </row>
        <row r="56">
          <cell r="E56" t="str">
            <v>ngx-codemirror</v>
          </cell>
        </row>
        <row r="57">
          <cell r="E57" t="str">
            <v>ngx-csv</v>
          </cell>
        </row>
        <row r="58">
          <cell r="E58" t="str">
            <v>ngx-csv</v>
          </cell>
        </row>
        <row r="59">
          <cell r="E59" t="str">
            <v>ngx-emoji-mart</v>
          </cell>
        </row>
        <row r="60">
          <cell r="E60" t="str">
            <v>ngx-emoji-mart</v>
          </cell>
        </row>
        <row r="61">
          <cell r="E61" t="str">
            <v>ngx-rightclick</v>
          </cell>
        </row>
        <row r="62">
          <cell r="E62" t="str">
            <v>ngx-rightclick</v>
          </cell>
        </row>
        <row r="63">
          <cell r="E63" t="str">
            <v>qbittorrent</v>
          </cell>
        </row>
        <row r="64">
          <cell r="E64" t="str">
            <v>qbittorrent</v>
          </cell>
        </row>
        <row r="65">
          <cell r="E65" t="str">
            <v>react-adsense</v>
          </cell>
        </row>
        <row r="66">
          <cell r="E66" t="str">
            <v>react-adsense</v>
          </cell>
        </row>
        <row r="67">
          <cell r="E67" t="str">
            <v>shared-torrent</v>
          </cell>
        </row>
        <row r="68">
          <cell r="E68" t="str">
            <v>shared-torrent</v>
          </cell>
        </row>
        <row r="69">
          <cell r="E69" t="str">
            <v>tinycolor</v>
          </cell>
        </row>
        <row r="70">
          <cell r="E70" t="str">
            <v>tinycolor</v>
          </cell>
        </row>
        <row r="71">
          <cell r="E71" t="str">
            <v>torrent-file</v>
          </cell>
        </row>
        <row r="72">
          <cell r="E72" t="str">
            <v>torrent-file</v>
          </cell>
        </row>
        <row r="73">
          <cell r="E73" t="str">
            <v>transmission</v>
          </cell>
        </row>
        <row r="74">
          <cell r="E74" t="str">
            <v>ts-base32</v>
          </cell>
        </row>
        <row r="75">
          <cell r="E75" t="str">
            <v>ts-base32</v>
          </cell>
        </row>
        <row r="76">
          <cell r="E76" t="str">
            <v>core</v>
          </cell>
        </row>
        <row r="77">
          <cell r="E77" t="str">
            <v>cqrs</v>
          </cell>
        </row>
        <row r="78">
          <cell r="E78" t="str">
            <v>demo</v>
          </cell>
        </row>
        <row r="79">
          <cell r="E79" t="str">
            <v>eslint-config</v>
          </cell>
        </row>
        <row r="80">
          <cell r="E80" t="str">
            <v>logger</v>
          </cell>
        </row>
        <row r="81">
          <cell r="E81" t="str">
            <v>scalar</v>
          </cell>
        </row>
        <row r="82">
          <cell r="E82" t="str">
            <v>validation</v>
          </cell>
        </row>
        <row r="83">
          <cell r="E83" t="str">
            <v>arraybuffers</v>
          </cell>
        </row>
        <row r="84">
          <cell r="E84" t="str">
            <v>arraybuffers</v>
          </cell>
        </row>
        <row r="85">
          <cell r="E85" t="str">
            <v>arraybuffers</v>
          </cell>
        </row>
        <row r="86">
          <cell r="E86" t="str">
            <v>gesturehandler</v>
          </cell>
        </row>
        <row r="87">
          <cell r="E87" t="str">
            <v>perms</v>
          </cell>
        </row>
        <row r="88">
          <cell r="E88" t="str">
            <v>perms</v>
          </cell>
        </row>
        <row r="89">
          <cell r="E89" t="str">
            <v>perms</v>
          </cell>
        </row>
        <row r="90">
          <cell r="E90" t="str">
            <v>perms</v>
          </cell>
        </row>
        <row r="91">
          <cell r="E91" t="str">
            <v>perms</v>
          </cell>
        </row>
        <row r="92">
          <cell r="E92" t="str">
            <v>sentry</v>
          </cell>
        </row>
        <row r="93">
          <cell r="E93" t="str">
            <v>sqlite</v>
          </cell>
        </row>
        <row r="94">
          <cell r="E94" t="str">
            <v>sqlite</v>
          </cell>
        </row>
        <row r="95">
          <cell r="E95" t="str">
            <v>sqlite</v>
          </cell>
        </row>
        <row r="96">
          <cell r="E96" t="str">
            <v>sqlite</v>
          </cell>
        </row>
        <row r="97">
          <cell r="E97" t="str">
            <v>text</v>
          </cell>
        </row>
        <row r="98">
          <cell r="E98" t="str">
            <v>text</v>
          </cell>
        </row>
        <row r="99">
          <cell r="E99" t="str">
            <v>text</v>
          </cell>
        </row>
        <row r="100">
          <cell r="E100" t="str">
            <v>text</v>
          </cell>
        </row>
        <row r="101">
          <cell r="E101" t="str">
            <v>text</v>
          </cell>
        </row>
        <row r="102">
          <cell r="E102" t="str">
            <v>typeorm</v>
          </cell>
        </row>
        <row r="103">
          <cell r="E103" t="str">
            <v>typeorm</v>
          </cell>
        </row>
        <row r="104">
          <cell r="E104" t="str">
            <v>typeorm</v>
          </cell>
        </row>
        <row r="105">
          <cell r="E105" t="str">
            <v>typeorm</v>
          </cell>
        </row>
        <row r="106">
          <cell r="E106" t="str">
            <v>ui-collectionview</v>
          </cell>
        </row>
        <row r="107">
          <cell r="E107" t="str">
            <v>ui-document-picker</v>
          </cell>
        </row>
        <row r="108">
          <cell r="E108" t="str">
            <v>ui-document-picker</v>
          </cell>
        </row>
        <row r="109">
          <cell r="E109" t="str">
            <v>ui-drawer</v>
          </cell>
        </row>
        <row r="110">
          <cell r="E110" t="str">
            <v>ui-image</v>
          </cell>
        </row>
        <row r="111">
          <cell r="E111" t="str">
            <v>ui-label</v>
          </cell>
        </row>
        <row r="112">
          <cell r="E112" t="str">
            <v>ui-label</v>
          </cell>
        </row>
        <row r="113">
          <cell r="E113" t="str">
            <v>ui-label</v>
          </cell>
        </row>
        <row r="114">
          <cell r="E114" t="str">
            <v>ui-material-bottom-navigation</v>
          </cell>
        </row>
        <row r="115">
          <cell r="E115" t="str">
            <v>ui-material-bottom-navigation</v>
          </cell>
        </row>
        <row r="116">
          <cell r="E116" t="str">
            <v>ui-material-bottom-navigation</v>
          </cell>
        </row>
        <row r="117">
          <cell r="E117" t="str">
            <v>ui-material-bottom-navigation</v>
          </cell>
        </row>
        <row r="118">
          <cell r="E118" t="str">
            <v>ui-material-bottomsheet</v>
          </cell>
        </row>
        <row r="119">
          <cell r="E119" t="str">
            <v>ui-material-core-tabs</v>
          </cell>
        </row>
        <row r="120">
          <cell r="E120" t="str">
            <v>ui-material-core-tabs</v>
          </cell>
        </row>
        <row r="121">
          <cell r="E121" t="str">
            <v>ui-material-core-tabs</v>
          </cell>
        </row>
        <row r="122">
          <cell r="E122" t="str">
            <v>ui-material-core-tabs</v>
          </cell>
        </row>
        <row r="123">
          <cell r="E123" t="str">
            <v>ui-material-core-tabs</v>
          </cell>
        </row>
        <row r="124">
          <cell r="E124" t="str">
            <v>ui-material-core</v>
          </cell>
        </row>
        <row r="125">
          <cell r="E125" t="str">
            <v>ui-material-core</v>
          </cell>
        </row>
        <row r="126">
          <cell r="E126" t="str">
            <v>ui-material-core</v>
          </cell>
        </row>
        <row r="127">
          <cell r="E127" t="str">
            <v>ui-material-core</v>
          </cell>
        </row>
        <row r="128">
          <cell r="E128" t="str">
            <v>ui-material-core</v>
          </cell>
        </row>
        <row r="129">
          <cell r="E129" t="str">
            <v>ui-material-ripple</v>
          </cell>
        </row>
        <row r="130">
          <cell r="E130" t="str">
            <v>ui-material-ripple</v>
          </cell>
        </row>
        <row r="131">
          <cell r="E131" t="str">
            <v>ui-material-ripple</v>
          </cell>
        </row>
        <row r="132">
          <cell r="E132" t="str">
            <v>ui-material-ripple</v>
          </cell>
        </row>
        <row r="133">
          <cell r="E133" t="str">
            <v>ui-material-tabs</v>
          </cell>
        </row>
        <row r="134">
          <cell r="E134" t="str">
            <v>ui-material-tabs</v>
          </cell>
        </row>
        <row r="135">
          <cell r="E135" t="str">
            <v>ui-material-tabs</v>
          </cell>
        </row>
        <row r="136">
          <cell r="E136" t="str">
            <v>ui-material-tabs</v>
          </cell>
        </row>
        <row r="137">
          <cell r="E137" t="str">
            <v>ui-pager</v>
          </cell>
        </row>
        <row r="138">
          <cell r="E138" t="str">
            <v>ui-pager</v>
          </cell>
        </row>
        <row r="139">
          <cell r="E139" t="str">
            <v>ui-pager</v>
          </cell>
        </row>
        <row r="140">
          <cell r="E140" t="str">
            <v>ui-pulltorefresh</v>
          </cell>
        </row>
        <row r="141">
          <cell r="E141" t="str">
            <v>ui-pulltorefresh</v>
          </cell>
        </row>
        <row r="142">
          <cell r="E142" t="str">
            <v>ui-pulltorefresh</v>
          </cell>
        </row>
        <row r="143">
          <cell r="E143" t="str">
            <v>ui-pulltorefresh</v>
          </cell>
        </row>
        <row r="144">
          <cell r="E144" t="str">
            <v>config-manager</v>
          </cell>
        </row>
        <row r="145">
          <cell r="E145" t="str">
            <v>eslint-config</v>
          </cell>
        </row>
        <row r="146">
          <cell r="E146" t="str">
            <v>logger</v>
          </cell>
        </row>
        <row r="147">
          <cell r="E147" t="str">
            <v>angular</v>
          </cell>
        </row>
        <row r="148">
          <cell r="E148" t="str">
            <v>angular</v>
          </cell>
        </row>
        <row r="149">
          <cell r="E149" t="str">
            <v>angular</v>
          </cell>
        </row>
        <row r="150">
          <cell r="E150" t="str">
            <v>focus</v>
          </cell>
        </row>
        <row r="151">
          <cell r="E151" t="str">
            <v>focus</v>
          </cell>
        </row>
        <row r="152">
          <cell r="E152" t="str">
            <v>focus</v>
          </cell>
        </row>
        <row r="153">
          <cell r="E153" t="str">
            <v>nativescript-checkbox</v>
          </cell>
        </row>
        <row r="154">
          <cell r="E154" t="str">
            <v>nativescript-checkbox</v>
          </cell>
        </row>
        <row r="155">
          <cell r="E155" t="str">
            <v>nativescript-checkbox</v>
          </cell>
        </row>
        <row r="156">
          <cell r="E156" t="str">
            <v>nativescript-checkbox</v>
          </cell>
        </row>
        <row r="157">
          <cell r="E157" t="str">
            <v>nativescript-loading-indicator</v>
          </cell>
        </row>
        <row r="158">
          <cell r="E158" t="str">
            <v>nativescript-loading-indicator</v>
          </cell>
        </row>
        <row r="159">
          <cell r="E159" t="str">
            <v>nativescript-loading-indicator</v>
          </cell>
        </row>
        <row r="160">
          <cell r="E160" t="str">
            <v>nativescript-loading-indicator</v>
          </cell>
        </row>
        <row r="161">
          <cell r="E161" t="str">
            <v>ui-collectionview</v>
          </cell>
        </row>
        <row r="162">
          <cell r="E162" t="str">
            <v>ui-collectionview</v>
          </cell>
        </row>
        <row r="163">
          <cell r="E163" t="str">
            <v>ui-collectionview</v>
          </cell>
        </row>
        <row r="164">
          <cell r="E164" t="str">
            <v>ui-collectionview</v>
          </cell>
        </row>
        <row r="165">
          <cell r="E165" t="str">
            <v>web-angular</v>
          </cell>
        </row>
        <row r="166">
          <cell r="E166" t="str">
            <v>web</v>
          </cell>
        </row>
        <row r="167">
          <cell r="E167" t="str">
            <v>xplat-utils</v>
          </cell>
        </row>
        <row r="168">
          <cell r="E168" t="str">
            <v>xplat-utils</v>
          </cell>
        </row>
        <row r="169">
          <cell r="E169" t="str">
            <v>xplat-utils</v>
          </cell>
        </row>
        <row r="170">
          <cell r="E170" t="str">
            <v>xplat</v>
          </cell>
        </row>
        <row r="171">
          <cell r="E171" t="str">
            <v>xplat</v>
          </cell>
        </row>
        <row r="172">
          <cell r="E172" t="str">
            <v>xplat</v>
          </cell>
        </row>
        <row r="173">
          <cell r="E173" t="str">
            <v>board</v>
          </cell>
        </row>
        <row r="174">
          <cell r="E174" t="str">
            <v>board</v>
          </cell>
        </row>
        <row r="175">
          <cell r="E175" t="str">
            <v>board</v>
          </cell>
        </row>
        <row r="176">
          <cell r="E176" t="str">
            <v>board</v>
          </cell>
        </row>
        <row r="177">
          <cell r="E177" t="str">
            <v>board</v>
          </cell>
        </row>
        <row r="178">
          <cell r="E178" t="str">
            <v>board</v>
          </cell>
        </row>
        <row r="179">
          <cell r="E179" t="str">
            <v>board</v>
          </cell>
        </row>
        <row r="180">
          <cell r="E180" t="str">
            <v>board</v>
          </cell>
        </row>
        <row r="181">
          <cell r="E181" t="str">
            <v>board</v>
          </cell>
        </row>
        <row r="182">
          <cell r="E182" t="str">
            <v>board</v>
          </cell>
        </row>
        <row r="183">
          <cell r="E183" t="str">
            <v>board</v>
          </cell>
        </row>
        <row r="184">
          <cell r="E184" t="str">
            <v>board</v>
          </cell>
        </row>
        <row r="185">
          <cell r="E185" t="str">
            <v>board</v>
          </cell>
        </row>
        <row r="186">
          <cell r="E186" t="str">
            <v>board</v>
          </cell>
        </row>
        <row r="187">
          <cell r="E187" t="str">
            <v>board</v>
          </cell>
        </row>
        <row r="188">
          <cell r="E188" t="str">
            <v>board</v>
          </cell>
        </row>
        <row r="189">
          <cell r="E189" t="str">
            <v>board</v>
          </cell>
        </row>
        <row r="190">
          <cell r="E190" t="str">
            <v>data-grist</v>
          </cell>
        </row>
        <row r="191">
          <cell r="E191" t="str">
            <v>data-grist</v>
          </cell>
        </row>
        <row r="192">
          <cell r="E192" t="str">
            <v>data-grist</v>
          </cell>
        </row>
        <row r="193">
          <cell r="E193" t="str">
            <v>data-grist</v>
          </cell>
        </row>
        <row r="194">
          <cell r="E194" t="str">
            <v>graphql</v>
          </cell>
        </row>
        <row r="195">
          <cell r="E195" t="str">
            <v>graphql</v>
          </cell>
        </row>
        <row r="196">
          <cell r="E196" t="str">
            <v>graphql</v>
          </cell>
        </row>
        <row r="197">
          <cell r="E197" t="str">
            <v>graphql</v>
          </cell>
        </row>
        <row r="198">
          <cell r="E198" t="str">
            <v>graphql</v>
          </cell>
        </row>
        <row r="199">
          <cell r="E199" t="str">
            <v>graphql</v>
          </cell>
        </row>
        <row r="200">
          <cell r="E200" t="str">
            <v>graphql</v>
          </cell>
        </row>
        <row r="201">
          <cell r="E201" t="str">
            <v>graphql</v>
          </cell>
        </row>
        <row r="202">
          <cell r="E202" t="str">
            <v>graphql</v>
          </cell>
        </row>
        <row r="203">
          <cell r="E203" t="str">
            <v>graphql</v>
          </cell>
        </row>
        <row r="204">
          <cell r="E204" t="str">
            <v>graphql</v>
          </cell>
        </row>
        <row r="205">
          <cell r="E205" t="str">
            <v>graphql</v>
          </cell>
        </row>
        <row r="206">
          <cell r="E206" t="str">
            <v>graphql</v>
          </cell>
        </row>
        <row r="207">
          <cell r="E207" t="str">
            <v>graphql</v>
          </cell>
        </row>
        <row r="208">
          <cell r="E208" t="str">
            <v>graphql</v>
          </cell>
        </row>
        <row r="209">
          <cell r="E209" t="str">
            <v>graphql</v>
          </cell>
        </row>
        <row r="210">
          <cell r="E210" t="str">
            <v>graphql</v>
          </cell>
        </row>
        <row r="211">
          <cell r="E211" t="str">
            <v>graphql</v>
          </cell>
        </row>
        <row r="212">
          <cell r="E212" t="str">
            <v>headroom</v>
          </cell>
        </row>
        <row r="213">
          <cell r="E213" t="str">
            <v>headroom</v>
          </cell>
        </row>
        <row r="214">
          <cell r="E214" t="str">
            <v>headroom</v>
          </cell>
        </row>
        <row r="215">
          <cell r="E215" t="str">
            <v>headroom</v>
          </cell>
        </row>
        <row r="216">
          <cell r="E216" t="str">
            <v>help</v>
          </cell>
        </row>
        <row r="217">
          <cell r="E217" t="str">
            <v>help</v>
          </cell>
        </row>
        <row r="218">
          <cell r="E218" t="str">
            <v>help</v>
          </cell>
        </row>
        <row r="219">
          <cell r="E219" t="str">
            <v>help</v>
          </cell>
        </row>
        <row r="220">
          <cell r="E220" t="str">
            <v>help</v>
          </cell>
        </row>
        <row r="221">
          <cell r="E221" t="str">
            <v>help</v>
          </cell>
        </row>
        <row r="222">
          <cell r="E222" t="str">
            <v>help</v>
          </cell>
        </row>
        <row r="223">
          <cell r="E223" t="str">
            <v>help</v>
          </cell>
        </row>
        <row r="224">
          <cell r="E224" t="str">
            <v>help</v>
          </cell>
        </row>
        <row r="225">
          <cell r="E225" t="str">
            <v>help</v>
          </cell>
        </row>
        <row r="226">
          <cell r="E226" t="str">
            <v>help</v>
          </cell>
        </row>
        <row r="227">
          <cell r="E227" t="str">
            <v>help</v>
          </cell>
        </row>
        <row r="228">
          <cell r="E228" t="str">
            <v>help</v>
          </cell>
        </row>
        <row r="229">
          <cell r="E229" t="str">
            <v>help</v>
          </cell>
        </row>
        <row r="230">
          <cell r="E230" t="str">
            <v>help</v>
          </cell>
        </row>
        <row r="231">
          <cell r="E231" t="str">
            <v>help</v>
          </cell>
        </row>
        <row r="232">
          <cell r="E232" t="str">
            <v>help</v>
          </cell>
        </row>
        <row r="233">
          <cell r="E233" t="str">
            <v>i18n</v>
          </cell>
        </row>
        <row r="234">
          <cell r="E234" t="str">
            <v>i18n</v>
          </cell>
        </row>
        <row r="235">
          <cell r="E235" t="str">
            <v>i18n</v>
          </cell>
        </row>
        <row r="236">
          <cell r="E236" t="str">
            <v>input</v>
          </cell>
        </row>
        <row r="237">
          <cell r="E237" t="str">
            <v>input</v>
          </cell>
        </row>
        <row r="238">
          <cell r="E238" t="str">
            <v>input</v>
          </cell>
        </row>
        <row r="239">
          <cell r="E239" t="str">
            <v>input</v>
          </cell>
        </row>
        <row r="240">
          <cell r="E240" t="str">
            <v>input</v>
          </cell>
        </row>
        <row r="241">
          <cell r="E241" t="str">
            <v>input</v>
          </cell>
        </row>
        <row r="242">
          <cell r="E242" t="str">
            <v>input</v>
          </cell>
        </row>
        <row r="243">
          <cell r="E243" t="str">
            <v>input</v>
          </cell>
        </row>
        <row r="244">
          <cell r="E244" t="str">
            <v>input</v>
          </cell>
        </row>
        <row r="245">
          <cell r="E245" t="str">
            <v>input</v>
          </cell>
        </row>
        <row r="246">
          <cell r="E246" t="str">
            <v>input</v>
          </cell>
        </row>
        <row r="247">
          <cell r="E247" t="str">
            <v>input</v>
          </cell>
        </row>
        <row r="248">
          <cell r="E248" t="str">
            <v>input</v>
          </cell>
        </row>
        <row r="249">
          <cell r="E249" t="str">
            <v>input</v>
          </cell>
        </row>
        <row r="250">
          <cell r="E250" t="str">
            <v>input</v>
          </cell>
        </row>
        <row r="251">
          <cell r="E251" t="str">
            <v>layout</v>
          </cell>
        </row>
        <row r="252">
          <cell r="E252" t="str">
            <v>layout</v>
          </cell>
        </row>
        <row r="253">
          <cell r="E253" t="str">
            <v>layout</v>
          </cell>
        </row>
        <row r="254">
          <cell r="E254" t="str">
            <v>popup</v>
          </cell>
        </row>
        <row r="255">
          <cell r="E255" t="str">
            <v>popup</v>
          </cell>
        </row>
        <row r="256">
          <cell r="E256" t="str">
            <v>popup</v>
          </cell>
        </row>
        <row r="257">
          <cell r="E257" t="str">
            <v>popup</v>
          </cell>
        </row>
        <row r="258">
          <cell r="E258" t="str">
            <v>popup</v>
          </cell>
        </row>
        <row r="259">
          <cell r="E259" t="str">
            <v>popup</v>
          </cell>
        </row>
        <row r="260">
          <cell r="E260" t="str">
            <v>popup</v>
          </cell>
        </row>
        <row r="261">
          <cell r="E261" t="str">
            <v>popup</v>
          </cell>
        </row>
        <row r="262">
          <cell r="E262" t="str">
            <v>popup</v>
          </cell>
        </row>
        <row r="263">
          <cell r="E263" t="str">
            <v>popup</v>
          </cell>
        </row>
        <row r="264">
          <cell r="E264" t="str">
            <v>popup</v>
          </cell>
        </row>
        <row r="265">
          <cell r="E265" t="str">
            <v>popup</v>
          </cell>
        </row>
        <row r="266">
          <cell r="E266" t="str">
            <v>popup</v>
          </cell>
        </row>
        <row r="267">
          <cell r="E267" t="str">
            <v>popup</v>
          </cell>
        </row>
        <row r="268">
          <cell r="E268" t="str">
            <v>popup</v>
          </cell>
        </row>
        <row r="269">
          <cell r="E269" t="str">
            <v>popup</v>
          </cell>
        </row>
        <row r="270">
          <cell r="E270" t="str">
            <v>popup</v>
          </cell>
        </row>
        <row r="271">
          <cell r="E271" t="str">
            <v>popup</v>
          </cell>
        </row>
        <row r="272">
          <cell r="E272" t="str">
            <v>pull-to-refresh</v>
          </cell>
        </row>
        <row r="273">
          <cell r="E273" t="str">
            <v>pull-to-refresh</v>
          </cell>
        </row>
        <row r="274">
          <cell r="E274" t="str">
            <v>pull-to-refresh</v>
          </cell>
        </row>
        <row r="275">
          <cell r="E275" t="str">
            <v>pull-to-refresh</v>
          </cell>
        </row>
        <row r="276">
          <cell r="E276" t="str">
            <v>pull-to-refresh</v>
          </cell>
        </row>
        <row r="277">
          <cell r="E277" t="str">
            <v>pull-to-refresh</v>
          </cell>
        </row>
        <row r="278">
          <cell r="E278" t="str">
            <v>pull-to-refresh</v>
          </cell>
        </row>
        <row r="279">
          <cell r="E279" t="str">
            <v>pull-to-refresh</v>
          </cell>
        </row>
        <row r="280">
          <cell r="E280" t="str">
            <v>pull-to-refresh</v>
          </cell>
        </row>
        <row r="281">
          <cell r="E281" t="str">
            <v>pull-to-refresh</v>
          </cell>
        </row>
        <row r="282">
          <cell r="E282" t="str">
            <v>pull-to-refresh</v>
          </cell>
        </row>
        <row r="283">
          <cell r="E283" t="str">
            <v>pull-to-refresh</v>
          </cell>
        </row>
        <row r="284">
          <cell r="E284" t="str">
            <v>pull-to-refresh</v>
          </cell>
        </row>
        <row r="285">
          <cell r="E285" t="str">
            <v>shell</v>
          </cell>
        </row>
        <row r="286">
          <cell r="E286" t="str">
            <v>shell</v>
          </cell>
        </row>
        <row r="287">
          <cell r="E287" t="str">
            <v>shell</v>
          </cell>
        </row>
        <row r="288">
          <cell r="E288" t="str">
            <v>shell</v>
          </cell>
        </row>
        <row r="289">
          <cell r="E289" t="str">
            <v>shell</v>
          </cell>
        </row>
        <row r="290">
          <cell r="E290" t="str">
            <v>shell</v>
          </cell>
        </row>
        <row r="291">
          <cell r="E291" t="str">
            <v>styles</v>
          </cell>
        </row>
        <row r="292">
          <cell r="E292" t="str">
            <v>styles</v>
          </cell>
        </row>
        <row r="293">
          <cell r="E293" t="str">
            <v>styles</v>
          </cell>
        </row>
        <row r="294">
          <cell r="E294" t="str">
            <v>styles</v>
          </cell>
        </row>
        <row r="295">
          <cell r="E295" t="str">
            <v>utils</v>
          </cell>
        </row>
        <row r="296">
          <cell r="E296" t="str">
            <v>utils</v>
          </cell>
        </row>
        <row r="297">
          <cell r="E297" t="str">
            <v>utils</v>
          </cell>
        </row>
        <row r="298">
          <cell r="E298" t="str">
            <v>utils</v>
          </cell>
        </row>
        <row r="299">
          <cell r="E299" t="str">
            <v>utils</v>
          </cell>
        </row>
        <row r="300">
          <cell r="E300" t="str">
            <v>utils</v>
          </cell>
        </row>
        <row r="301">
          <cell r="E301" t="str">
            <v>utils</v>
          </cell>
        </row>
        <row r="302">
          <cell r="E302" t="str">
            <v>utils</v>
          </cell>
        </row>
        <row r="303">
          <cell r="E303" t="str">
            <v>utils</v>
          </cell>
        </row>
        <row r="304">
          <cell r="E304" t="str">
            <v>utils</v>
          </cell>
        </row>
        <row r="305">
          <cell r="E305" t="str">
            <v>utils</v>
          </cell>
        </row>
        <row r="306">
          <cell r="E306" t="str">
            <v>utils</v>
          </cell>
        </row>
        <row r="307">
          <cell r="E307" t="str">
            <v>utils</v>
          </cell>
        </row>
        <row r="308">
          <cell r="E308" t="str">
            <v>utils</v>
          </cell>
        </row>
        <row r="309">
          <cell r="E309" t="str">
            <v>utils</v>
          </cell>
        </row>
        <row r="310">
          <cell r="E310" t="str">
            <v>utils</v>
          </cell>
        </row>
        <row r="311">
          <cell r="E311" t="str">
            <v>utils</v>
          </cell>
        </row>
        <row r="312">
          <cell r="E312" t="str">
            <v>utils</v>
          </cell>
        </row>
        <row r="313">
          <cell r="E313" t="str">
            <v>ngx-bootstrap</v>
          </cell>
        </row>
        <row r="314">
          <cell r="E314" t="str">
            <v>ngx-bootstrap</v>
          </cell>
        </row>
        <row r="315">
          <cell r="E315" t="str">
            <v>ember-velcro</v>
          </cell>
        </row>
        <row r="316">
          <cell r="E316" t="str">
            <v>bio-parsers</v>
          </cell>
        </row>
        <row r="317">
          <cell r="E317" t="str">
            <v>bounce-loader</v>
          </cell>
        </row>
        <row r="318">
          <cell r="E318" t="str">
            <v>bounce-loader</v>
          </cell>
        </row>
        <row r="319">
          <cell r="E319" t="str">
            <v>file-utils</v>
          </cell>
        </row>
        <row r="320">
          <cell r="E320" t="str">
            <v>liquibase-tools</v>
          </cell>
        </row>
        <row r="321">
          <cell r="E321" t="str">
            <v>ove</v>
          </cell>
        </row>
        <row r="322">
          <cell r="E322" t="str">
            <v>range-utils</v>
          </cell>
        </row>
        <row r="323">
          <cell r="E323" t="str">
            <v>range-utils</v>
          </cell>
        </row>
        <row r="324">
          <cell r="E324" t="str">
            <v>react-list</v>
          </cell>
        </row>
        <row r="325">
          <cell r="E325" t="str">
            <v>react-list</v>
          </cell>
        </row>
        <row r="326">
          <cell r="E326" t="str">
            <v>react-table</v>
          </cell>
        </row>
        <row r="327">
          <cell r="E327" t="str">
            <v>react-table</v>
          </cell>
        </row>
        <row r="328">
          <cell r="E328" t="str">
            <v>react-table</v>
          </cell>
        </row>
        <row r="329">
          <cell r="E329" t="str">
            <v>sequence-utils</v>
          </cell>
        </row>
        <row r="330">
          <cell r="E330" t="str">
            <v>ui</v>
          </cell>
        </row>
        <row r="331">
          <cell r="E331" t="str">
            <v>callback-window</v>
          </cell>
        </row>
        <row r="332">
          <cell r="E332" t="str">
            <v>attachment-base</v>
          </cell>
        </row>
        <row r="333">
          <cell r="E333" t="str">
            <v>attachment-base</v>
          </cell>
        </row>
        <row r="334">
          <cell r="E334" t="str">
            <v>attachment-base</v>
          </cell>
        </row>
        <row r="335">
          <cell r="E335" t="str">
            <v>attachment-base</v>
          </cell>
        </row>
        <row r="336">
          <cell r="E336" t="str">
            <v>attachment-base</v>
          </cell>
        </row>
        <row r="337">
          <cell r="E337" t="str">
            <v>attachment-base</v>
          </cell>
        </row>
        <row r="338">
          <cell r="E338" t="str">
            <v>attachment-base</v>
          </cell>
        </row>
        <row r="339">
          <cell r="E339" t="str">
            <v>attachment-base</v>
          </cell>
        </row>
        <row r="340">
          <cell r="E340" t="str">
            <v>attachment-base</v>
          </cell>
        </row>
        <row r="341">
          <cell r="E341" t="str">
            <v>attachment-base</v>
          </cell>
        </row>
        <row r="342">
          <cell r="E342" t="str">
            <v>attachment-base</v>
          </cell>
        </row>
        <row r="343">
          <cell r="E343" t="str">
            <v>attachment-base</v>
          </cell>
        </row>
        <row r="344">
          <cell r="E344" t="str">
            <v>attachment-base</v>
          </cell>
        </row>
        <row r="345">
          <cell r="E345" t="str">
            <v>attachment-base</v>
          </cell>
        </row>
        <row r="346">
          <cell r="E346" t="str">
            <v>auth-base</v>
          </cell>
        </row>
        <row r="347">
          <cell r="E347" t="str">
            <v>auth-base</v>
          </cell>
        </row>
        <row r="348">
          <cell r="E348" t="str">
            <v>auth-base</v>
          </cell>
        </row>
        <row r="349">
          <cell r="E349" t="str">
            <v>auth-base</v>
          </cell>
        </row>
        <row r="350">
          <cell r="E350" t="str">
            <v>email-base</v>
          </cell>
        </row>
        <row r="351">
          <cell r="E351" t="str">
            <v>email-base</v>
          </cell>
        </row>
        <row r="352">
          <cell r="E352" t="str">
            <v>email-base</v>
          </cell>
        </row>
        <row r="353">
          <cell r="E353" t="str">
            <v>email-base</v>
          </cell>
        </row>
        <row r="354">
          <cell r="E354" t="str">
            <v>email-base</v>
          </cell>
        </row>
        <row r="355">
          <cell r="E355" t="str">
            <v>email-base</v>
          </cell>
        </row>
        <row r="356">
          <cell r="E356" t="str">
            <v>email-base</v>
          </cell>
        </row>
        <row r="357">
          <cell r="E357" t="str">
            <v>email-base</v>
          </cell>
        </row>
        <row r="358">
          <cell r="E358" t="str">
            <v>email-base</v>
          </cell>
        </row>
        <row r="359">
          <cell r="E359" t="str">
            <v>email-base</v>
          </cell>
        </row>
        <row r="360">
          <cell r="E360" t="str">
            <v>email-base</v>
          </cell>
        </row>
        <row r="361">
          <cell r="E361" t="str">
            <v>email-base</v>
          </cell>
        </row>
        <row r="362">
          <cell r="E362" t="str">
            <v>email-base</v>
          </cell>
        </row>
        <row r="363">
          <cell r="E363" t="str">
            <v>email-base</v>
          </cell>
        </row>
        <row r="364">
          <cell r="E364" t="str">
            <v>email-base</v>
          </cell>
        </row>
        <row r="365">
          <cell r="E365" t="str">
            <v>email-base</v>
          </cell>
        </row>
        <row r="366">
          <cell r="E366" t="str">
            <v>email-base</v>
          </cell>
        </row>
        <row r="367">
          <cell r="E367" t="str">
            <v>email-base</v>
          </cell>
        </row>
        <row r="368">
          <cell r="E368" t="str">
            <v>env</v>
          </cell>
        </row>
        <row r="369">
          <cell r="E369" t="str">
            <v>env</v>
          </cell>
        </row>
        <row r="370">
          <cell r="E370" t="str">
            <v>env</v>
          </cell>
        </row>
        <row r="371">
          <cell r="E371" t="str">
            <v>env</v>
          </cell>
        </row>
        <row r="372">
          <cell r="E372" t="str">
            <v>integration-base</v>
          </cell>
        </row>
        <row r="373">
          <cell r="E373" t="str">
            <v>integration-base</v>
          </cell>
        </row>
        <row r="374">
          <cell r="E374" t="str">
            <v>integration-base</v>
          </cell>
        </row>
        <row r="375">
          <cell r="E375" t="str">
            <v>integration-base</v>
          </cell>
        </row>
        <row r="376">
          <cell r="E376" t="str">
            <v>integration-marketplace</v>
          </cell>
        </row>
        <row r="377">
          <cell r="E377" t="str">
            <v>integration-marketplace</v>
          </cell>
        </row>
        <row r="378">
          <cell r="E378" t="str">
            <v>integration-marketplace</v>
          </cell>
        </row>
        <row r="379">
          <cell r="E379" t="str">
            <v>shell</v>
          </cell>
        </row>
        <row r="380">
          <cell r="E380" t="str">
            <v>shell</v>
          </cell>
        </row>
        <row r="381">
          <cell r="E381" t="str">
            <v>shell</v>
          </cell>
        </row>
        <row r="382">
          <cell r="E382" t="str">
            <v>shell</v>
          </cell>
        </row>
        <row r="383">
          <cell r="E383" t="str">
            <v>api</v>
          </cell>
        </row>
        <row r="384">
          <cell r="E384" t="str">
            <v>core</v>
          </cell>
        </row>
        <row r="385">
          <cell r="E385" t="str">
            <v>js</v>
          </cell>
        </row>
        <row r="386">
          <cell r="E386" t="str">
            <v>mui</v>
          </cell>
        </row>
        <row r="387">
          <cell r="E387" t="str">
            <v>react</v>
          </cell>
        </row>
        <row r="388">
          <cell r="E388" t="str">
            <v>devextreme-angular-rpk</v>
          </cell>
        </row>
        <row r="389">
          <cell r="E389" t="str">
            <v>design-system</v>
          </cell>
        </row>
        <row r="390">
          <cell r="E390" t="str">
            <v>jpeg-camera-es6</v>
          </cell>
        </row>
        <row r="391">
          <cell r="E391" t="str">
            <v>yobi</v>
          </cell>
        </row>
        <row r="392">
          <cell r="E392" t="str">
            <v>airchief</v>
          </cell>
        </row>
        <row r="393">
          <cell r="E393" t="str">
            <v>airpilot</v>
          </cell>
        </row>
        <row r="394">
          <cell r="E394" t="str">
            <v>angulartics2</v>
          </cell>
        </row>
        <row r="395">
          <cell r="E395" t="str">
            <v>angulartics2</v>
          </cell>
        </row>
        <row r="396">
          <cell r="E396" t="str">
            <v>another-shai</v>
          </cell>
        </row>
        <row r="397">
          <cell r="E397" t="str">
            <v>browser-webdriver-downloader</v>
          </cell>
        </row>
        <row r="398">
          <cell r="E398" t="str">
            <v>capacitor-notificationhandler</v>
          </cell>
        </row>
        <row r="399">
          <cell r="E399" t="str">
            <v>capacitor-notificationhandler</v>
          </cell>
        </row>
        <row r="400">
          <cell r="E400" t="str">
            <v>capacitor-plugin-healthapp</v>
          </cell>
        </row>
        <row r="401">
          <cell r="E401" t="str">
            <v>capacitor-plugin-healthapp</v>
          </cell>
        </row>
        <row r="402">
          <cell r="E402" t="str">
            <v>capacitor-plugin-ihealth</v>
          </cell>
        </row>
        <row r="403">
          <cell r="E403" t="str">
            <v>capacitor-plugin-ihealth</v>
          </cell>
        </row>
        <row r="404">
          <cell r="E404" t="str">
            <v>capacitor-plugin-vonage</v>
          </cell>
        </row>
        <row r="405">
          <cell r="E405" t="str">
            <v>capacitor-plugin-vonage</v>
          </cell>
        </row>
        <row r="406">
          <cell r="E406" t="str">
            <v>capacitorandroidpermissions</v>
          </cell>
        </row>
        <row r="407">
          <cell r="E407" t="str">
            <v>capacitorandroidpermissions</v>
          </cell>
        </row>
        <row r="408">
          <cell r="E408" t="str">
            <v>config-cordova</v>
          </cell>
        </row>
        <row r="409">
          <cell r="E409" t="str">
            <v>cordova-plugin-voxeet2</v>
          </cell>
        </row>
        <row r="410">
          <cell r="E410" t="str">
            <v>cordova-voxeet</v>
          </cell>
        </row>
        <row r="411">
          <cell r="E411" t="str">
            <v>create-hest-app</v>
          </cell>
        </row>
        <row r="412">
          <cell r="E412" t="str">
            <v>db-evo</v>
          </cell>
        </row>
        <row r="413">
          <cell r="E413" t="str">
            <v>db-evo</v>
          </cell>
        </row>
        <row r="414">
          <cell r="E414" t="str">
            <v>devextreme-angular-rpk</v>
          </cell>
        </row>
        <row r="415">
          <cell r="E415" t="str">
            <v>ember-browser-services</v>
          </cell>
        </row>
        <row r="416">
          <cell r="E416" t="str">
            <v>ember-browser-services</v>
          </cell>
        </row>
        <row r="417">
          <cell r="E417" t="str">
            <v>ember-headless-form-yup</v>
          </cell>
        </row>
        <row r="418">
          <cell r="E418" t="str">
            <v>ember-headless-form</v>
          </cell>
        </row>
        <row r="419">
          <cell r="E419" t="str">
            <v>ember-headless-form</v>
          </cell>
        </row>
        <row r="420">
          <cell r="E420" t="str">
            <v>ember-headless-table</v>
          </cell>
        </row>
        <row r="421">
          <cell r="E421" t="str">
            <v>ember-headless-table</v>
          </cell>
        </row>
        <row r="422">
          <cell r="E422" t="str">
            <v>ember-url-hash-polyfill</v>
          </cell>
        </row>
        <row r="423">
          <cell r="E423" t="str">
            <v>ember-url-hash-polyfill</v>
          </cell>
        </row>
        <row r="424">
          <cell r="E424" t="str">
            <v>ember-velcro</v>
          </cell>
        </row>
        <row r="425">
          <cell r="E425" t="str">
            <v>ember-velcro</v>
          </cell>
        </row>
        <row r="426">
          <cell r="E426" t="str">
            <v>encounter-playground</v>
          </cell>
        </row>
        <row r="427">
          <cell r="E427" t="str">
            <v>encounter-playground</v>
          </cell>
        </row>
        <row r="428">
          <cell r="E428" t="str">
            <v>encounter-playground</v>
          </cell>
        </row>
        <row r="429">
          <cell r="E429" t="str">
            <v>encounter-playground</v>
          </cell>
        </row>
        <row r="430">
          <cell r="E430" t="str">
            <v>eslint-config-crowdstrike-node</v>
          </cell>
        </row>
        <row r="431">
          <cell r="E431" t="str">
            <v>eslint-config-crowdstrike-node</v>
          </cell>
        </row>
        <row r="432">
          <cell r="E432" t="str">
            <v>eslint-config-crowdstrike</v>
          </cell>
        </row>
        <row r="433">
          <cell r="E433" t="str">
            <v>eslint-config-crowdstrike</v>
          </cell>
        </row>
        <row r="434">
          <cell r="E434" t="str">
            <v>eslint-config-teselagen</v>
          </cell>
        </row>
        <row r="435">
          <cell r="E435" t="str">
            <v>eslint-config-teselagen</v>
          </cell>
        </row>
        <row r="436">
          <cell r="E436" t="str">
            <v>globalize-rpk</v>
          </cell>
        </row>
        <row r="437">
          <cell r="E437" t="str">
            <v>graphql-sequelize-teselagen</v>
          </cell>
        </row>
        <row r="438">
          <cell r="E438" t="str">
            <v>graphql-sequelize-teselagen</v>
          </cell>
        </row>
        <row r="439">
          <cell r="E439" t="str">
            <v>html-to-base64-image</v>
          </cell>
        </row>
        <row r="440">
          <cell r="E440" t="str">
            <v>json-rules-engine-simplified</v>
          </cell>
        </row>
        <row r="441">
          <cell r="E441" t="str">
            <v>json-rules-engine-simplified</v>
          </cell>
        </row>
        <row r="442">
          <cell r="E442" t="str">
            <v>jumpgate</v>
          </cell>
        </row>
        <row r="443">
          <cell r="E443" t="str">
            <v>koa2-swagger-ui</v>
          </cell>
        </row>
        <row r="444">
          <cell r="E444" t="str">
            <v>koa2-swagger-ui</v>
          </cell>
        </row>
        <row r="445">
          <cell r="E445" t="str">
            <v>mcfly-semantic-release</v>
          </cell>
        </row>
        <row r="446">
          <cell r="E446" t="str">
            <v>mcp-knowledge-base</v>
          </cell>
        </row>
        <row r="447">
          <cell r="E447" t="str">
            <v>mcp-knowledge-graph</v>
          </cell>
        </row>
        <row r="448">
          <cell r="E448" t="str">
            <v>mobioffice-cli</v>
          </cell>
        </row>
        <row r="449">
          <cell r="E449" t="str">
            <v>monorepo-next</v>
          </cell>
        </row>
        <row r="450">
          <cell r="E450" t="str">
            <v>monorepo-next</v>
          </cell>
        </row>
        <row r="451">
          <cell r="E451" t="str">
            <v>mstate-angular</v>
          </cell>
        </row>
        <row r="452">
          <cell r="E452" t="str">
            <v>mstate-cli</v>
          </cell>
        </row>
        <row r="453">
          <cell r="E453" t="str">
            <v>mstate-dev-react</v>
          </cell>
        </row>
        <row r="454">
          <cell r="E454" t="str">
            <v>mstate-react</v>
          </cell>
        </row>
        <row r="455">
          <cell r="E455" t="str">
            <v>ng2-file-upload</v>
          </cell>
        </row>
        <row r="456">
          <cell r="E456" t="str">
            <v>ng2-file-upload</v>
          </cell>
        </row>
        <row r="457">
          <cell r="E457" t="str">
            <v>ng2-file-upload</v>
          </cell>
        </row>
        <row r="458">
          <cell r="E458" t="str">
            <v>ng2-file-upload</v>
          </cell>
        </row>
        <row r="459">
          <cell r="E459" t="str">
            <v>ng2-file-upload</v>
          </cell>
        </row>
        <row r="460">
          <cell r="E460" t="str">
            <v>ng2-file-upload</v>
          </cell>
        </row>
        <row r="461">
          <cell r="E461" t="str">
            <v>ngx-bootstrap</v>
          </cell>
        </row>
        <row r="462">
          <cell r="E462" t="str">
            <v>ngx-bootstrap</v>
          </cell>
        </row>
        <row r="463">
          <cell r="E463" t="str">
            <v>ngx-bootstrap</v>
          </cell>
        </row>
        <row r="464">
          <cell r="E464" t="str">
            <v>ngx-bootstrap</v>
          </cell>
        </row>
        <row r="465">
          <cell r="E465" t="str">
            <v>ngx-bootstrap</v>
          </cell>
        </row>
        <row r="466">
          <cell r="E466" t="str">
            <v>ngx-bootstrap</v>
          </cell>
        </row>
        <row r="467">
          <cell r="E467" t="str">
            <v>ngx-color</v>
          </cell>
        </row>
        <row r="468">
          <cell r="E468" t="str">
            <v>ngx-color</v>
          </cell>
        </row>
        <row r="469">
          <cell r="E469" t="str">
            <v>ngx-toastr</v>
          </cell>
        </row>
        <row r="470">
          <cell r="E470" t="str">
            <v>ngx-toastr</v>
          </cell>
        </row>
        <row r="471">
          <cell r="E471" t="str">
            <v>ngx-trend</v>
          </cell>
        </row>
        <row r="472">
          <cell r="E472" t="str">
            <v>ngx-ws</v>
          </cell>
        </row>
        <row r="473">
          <cell r="E473" t="str">
            <v>ngx-ws</v>
          </cell>
        </row>
        <row r="474">
          <cell r="E474" t="str">
            <v>oradm-to-gql</v>
          </cell>
        </row>
        <row r="475">
          <cell r="E475" t="str">
            <v>oradm-to-gql</v>
          </cell>
        </row>
        <row r="476">
          <cell r="E476" t="str">
            <v>oradm-to-sqlz</v>
          </cell>
        </row>
        <row r="477">
          <cell r="E477" t="str">
            <v>ove-auto-annotate</v>
          </cell>
        </row>
        <row r="478">
          <cell r="E478" t="str">
            <v>ove-auto-annotate</v>
          </cell>
        </row>
        <row r="479">
          <cell r="E479" t="str">
            <v>pm2-gelf-json</v>
          </cell>
        </row>
        <row r="480">
          <cell r="E480" t="str">
            <v>pm2-gelf-json</v>
          </cell>
        </row>
        <row r="481">
          <cell r="E481" t="str">
            <v>printjs-rpk</v>
          </cell>
        </row>
        <row r="482">
          <cell r="E482" t="str">
            <v>react-complaint-image</v>
          </cell>
        </row>
        <row r="483">
          <cell r="E483" t="str">
            <v>react-complaint-image</v>
          </cell>
        </row>
        <row r="484">
          <cell r="E484" t="str">
            <v>react-jsonschema-form-conditionals</v>
          </cell>
        </row>
        <row r="485">
          <cell r="E485" t="str">
            <v>react-jsonschema-form-conditionals</v>
          </cell>
        </row>
        <row r="486">
          <cell r="E486" t="str">
            <v>react-jsonschema-form-extras</v>
          </cell>
        </row>
        <row r="487">
          <cell r="E487" t="str">
            <v>react-jsonschema-rxnt-extras</v>
          </cell>
        </row>
        <row r="488">
          <cell r="E488" t="str">
            <v>remark-preset-lint-crowdstrike</v>
          </cell>
        </row>
        <row r="489">
          <cell r="E489" t="str">
            <v>remark-preset-lint-crowdstrike</v>
          </cell>
        </row>
        <row r="490">
          <cell r="E490" t="str">
            <v>rxnt-authentication</v>
          </cell>
        </row>
        <row r="491">
          <cell r="E491" t="str">
            <v>rxnt-authentication</v>
          </cell>
        </row>
        <row r="492">
          <cell r="E492" t="str">
            <v>rxnt-authentication</v>
          </cell>
        </row>
        <row r="493">
          <cell r="E493" t="str">
            <v>rxnt-authentication</v>
          </cell>
        </row>
        <row r="494">
          <cell r="E494" t="str">
            <v>rxnt-healthchecks-nestjs</v>
          </cell>
        </row>
        <row r="495">
          <cell r="E495" t="str">
            <v>rxnt-healthchecks-nestjs</v>
          </cell>
        </row>
        <row r="496">
          <cell r="E496" t="str">
            <v>rxnt-healthchecks-nestjs</v>
          </cell>
        </row>
        <row r="497">
          <cell r="E497" t="str">
            <v>rxnt-healthchecks-nestjs</v>
          </cell>
        </row>
        <row r="498">
          <cell r="E498" t="str">
            <v>rxnt-kue</v>
          </cell>
        </row>
        <row r="499">
          <cell r="E499" t="str">
            <v>rxnt-kue</v>
          </cell>
        </row>
        <row r="500">
          <cell r="E500" t="str">
            <v>rxnt-kue</v>
          </cell>
        </row>
        <row r="501">
          <cell r="E501" t="str">
            <v>rxnt-kue</v>
          </cell>
        </row>
        <row r="502">
          <cell r="E502" t="str">
            <v>swc-plugin-component-annotate</v>
          </cell>
        </row>
        <row r="503">
          <cell r="E503" t="str">
            <v>swc-plugin-component-annotate</v>
          </cell>
        </row>
        <row r="504">
          <cell r="E504" t="str">
            <v>tbssnch</v>
          </cell>
        </row>
        <row r="505">
          <cell r="E505" t="str">
            <v>teselagen-interval-tree</v>
          </cell>
        </row>
        <row r="506">
          <cell r="E506" t="str">
            <v>tg-client-query-builder</v>
          </cell>
        </row>
        <row r="507">
          <cell r="E507" t="str">
            <v>tg-client-query-builder</v>
          </cell>
        </row>
        <row r="508">
          <cell r="E508" t="str">
            <v>tg-redbird</v>
          </cell>
        </row>
        <row r="509">
          <cell r="E509" t="str">
            <v>tg-redbird</v>
          </cell>
        </row>
        <row r="510">
          <cell r="E510" t="str">
            <v>tg-seq-gen</v>
          </cell>
        </row>
        <row r="511">
          <cell r="E511" t="str">
            <v>tg-seq-gen</v>
          </cell>
        </row>
        <row r="512">
          <cell r="E512" t="str">
            <v>thangved-react-grid</v>
          </cell>
        </row>
        <row r="513">
          <cell r="E513" t="str">
            <v>ts-gaussian</v>
          </cell>
        </row>
        <row r="514">
          <cell r="E514" t="str">
            <v>ts-gaussian</v>
          </cell>
        </row>
        <row r="515">
          <cell r="E515" t="str">
            <v>ts-imports</v>
          </cell>
        </row>
        <row r="516">
          <cell r="E516" t="str">
            <v>ts-imports</v>
          </cell>
        </row>
        <row r="517">
          <cell r="E517" t="str">
            <v>tvi-cli</v>
          </cell>
        </row>
        <row r="518">
          <cell r="E518" t="str">
            <v>ve-bamreader</v>
          </cell>
        </row>
        <row r="519">
          <cell r="E519" t="str">
            <v>ve-bamreader</v>
          </cell>
        </row>
        <row r="520">
          <cell r="E520" t="str">
            <v>ve-editor</v>
          </cell>
        </row>
        <row r="521">
          <cell r="E521" t="str">
            <v>ve-editor</v>
          </cell>
        </row>
        <row r="522">
          <cell r="E522" t="str">
            <v>verror-extra</v>
          </cell>
        </row>
        <row r="523">
          <cell r="E523" t="str">
            <v>voip-callkit</v>
          </cell>
        </row>
        <row r="524">
          <cell r="E524" t="str">
            <v>voip-callkit</v>
          </cell>
        </row>
        <row r="525">
          <cell r="E525" t="str">
            <v>wdio-web-reporter</v>
          </cell>
        </row>
        <row r="526">
          <cell r="E526" t="str">
            <v>yargs-help-output</v>
          </cell>
        </row>
        <row r="527">
          <cell r="E527" t="str">
            <v>yoo-styles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cket.dev/npm/package/@clausehq/flows-step-taskscreateurl/overview/0.1.14" TargetMode="External"/><Relationship Id="rId21" Type="http://schemas.openxmlformats.org/officeDocument/2006/relationships/hyperlink" Target="https://socket.dev/npm/package/@actbase/react-native-simple-video/overview/1.0.13" TargetMode="External"/><Relationship Id="rId324" Type="http://schemas.openxmlformats.org/officeDocument/2006/relationships/hyperlink" Target="https://socket.dev/npm/package/@posthog/twilio-plugin/overview/0.0.8" TargetMode="External"/><Relationship Id="rId531" Type="http://schemas.openxmlformats.org/officeDocument/2006/relationships/hyperlink" Target="https://socket.dev/npm/package/nuxt-keycloak/overview/0.2.2" TargetMode="External"/><Relationship Id="rId629" Type="http://schemas.openxmlformats.org/officeDocument/2006/relationships/hyperlink" Target="https://socket.dev/npm/package/web-scraper-mcp/overview/1.1.4" TargetMode="External"/><Relationship Id="rId170" Type="http://schemas.openxmlformats.org/officeDocument/2006/relationships/hyperlink" Target="https://socket.dev/npm/package/@ensdomains/web3modal/overview/1.10.2" TargetMode="External"/><Relationship Id="rId268" Type="http://schemas.openxmlformats.org/officeDocument/2006/relationships/hyperlink" Target="https://socket.dev/npm/package/@orbitgtbelgium/time-slider/overview/1.0.187" TargetMode="External"/><Relationship Id="rId475" Type="http://schemas.openxmlformats.org/officeDocument/2006/relationships/hyperlink" Target="https://socket.dev/npm/package/gatsby-plugin-antd" TargetMode="External"/><Relationship Id="rId32" Type="http://schemas.openxmlformats.org/officeDocument/2006/relationships/hyperlink" Target="https://socket.dev/npm/package/@antstackio/graphql-body-parser/overview/0.1.1" TargetMode="External"/><Relationship Id="rId128" Type="http://schemas.openxmlformats.org/officeDocument/2006/relationships/hyperlink" Target="https://socket.dev/npm/package/@ensdomains/blacklist/overview/1.0.1" TargetMode="External"/><Relationship Id="rId335" Type="http://schemas.openxmlformats.org/officeDocument/2006/relationships/hyperlink" Target="https://socket.dev/npm/package/@productdevbook/motion/overview/1.0.4" TargetMode="External"/><Relationship Id="rId542" Type="http://schemas.openxmlformats.org/officeDocument/2006/relationships/hyperlink" Target="https://socket.dev/npm/package/pergeltest/overview/0.0.25" TargetMode="External"/><Relationship Id="rId181" Type="http://schemas.openxmlformats.org/officeDocument/2006/relationships/hyperlink" Target="https://socket.dev/npm/package/@hover-design/react/overview/0.2.1" TargetMode="External"/><Relationship Id="rId402" Type="http://schemas.openxmlformats.org/officeDocument/2006/relationships/hyperlink" Target="https://socket.dev/npm/package/@vishadtyagi/full-year-calendar" TargetMode="External"/><Relationship Id="rId279" Type="http://schemas.openxmlformats.org/officeDocument/2006/relationships/hyperlink" Target="https://socket.dev/npm/package/@posthog/bitbucket-release-tracker/overview/0.0.8" TargetMode="External"/><Relationship Id="rId486" Type="http://schemas.openxmlformats.org/officeDocument/2006/relationships/hyperlink" Target="https://socket.dev/npm/package/hover-design-prototype/overview/0.0.5" TargetMode="External"/><Relationship Id="rId43" Type="http://schemas.openxmlformats.org/officeDocument/2006/relationships/hyperlink" Target="https://socket.dev/npm/package/@asyncapi/diff" TargetMode="External"/><Relationship Id="rId139" Type="http://schemas.openxmlformats.org/officeDocument/2006/relationships/hyperlink" Target="https://socket.dev/npm/package/@ensdomains/dnssecoraclejs/overview/0.2.9" TargetMode="External"/><Relationship Id="rId346" Type="http://schemas.openxmlformats.org/officeDocument/2006/relationships/hyperlink" Target="https://socket.dev/npm/package/@quick-start-soft/quick-task-refine" TargetMode="External"/><Relationship Id="rId553" Type="http://schemas.openxmlformats.org/officeDocument/2006/relationships/hyperlink" Target="https://socket.dev/npm/package/puny-req/overview/1.0.3" TargetMode="External"/><Relationship Id="rId192" Type="http://schemas.openxmlformats.org/officeDocument/2006/relationships/hyperlink" Target="https://socket.dev/npm/package/@ifings/metatron3/overview/0.1.5" TargetMode="External"/><Relationship Id="rId206" Type="http://schemas.openxmlformats.org/officeDocument/2006/relationships/hyperlink" Target="https://socket.dev/npm/package/@lessondesk/eslint-config/overview/1.4.2" TargetMode="External"/><Relationship Id="rId413" Type="http://schemas.openxmlformats.org/officeDocument/2006/relationships/hyperlink" Target="https://socket.dev/npm/package/avvvatars-vue" TargetMode="External"/><Relationship Id="rId497" Type="http://schemas.openxmlformats.org/officeDocument/2006/relationships/hyperlink" Target="https://socket.dev/npm/package/itobuz-angular/overview/0.0.1" TargetMode="External"/><Relationship Id="rId620" Type="http://schemas.openxmlformats.org/officeDocument/2006/relationships/hyperlink" Target="https://socket.dev/npm/package/uniswap-test-sdk-core" TargetMode="External"/><Relationship Id="rId357" Type="http://schemas.openxmlformats.org/officeDocument/2006/relationships/hyperlink" Target="https://socket.dev/npm/package/@silgi/ecosystem" TargetMode="External"/><Relationship Id="rId54" Type="http://schemas.openxmlformats.org/officeDocument/2006/relationships/hyperlink" Target="https://socket.dev/npm/package/@asyncapi/generator-helpers/overview/0.2.2" TargetMode="External"/><Relationship Id="rId217" Type="http://schemas.openxmlformats.org/officeDocument/2006/relationships/hyperlink" Target="https://socket.dev/npm/package/@lui-ui/lui-vue" TargetMode="External"/><Relationship Id="rId564" Type="http://schemas.openxmlformats.org/officeDocument/2006/relationships/hyperlink" Target="https://socket.dev/npm/package/react-data-to-export" TargetMode="External"/><Relationship Id="rId424" Type="http://schemas.openxmlformats.org/officeDocument/2006/relationships/hyperlink" Target="https://socket.dev/npm/package/bun-plugin-httpfile/overview/0.1.1" TargetMode="External"/><Relationship Id="rId631" Type="http://schemas.openxmlformats.org/officeDocument/2006/relationships/hyperlink" Target="https://socket.dev/npm/package/web-types-lit/overview/0.1.1" TargetMode="External"/><Relationship Id="rId270" Type="http://schemas.openxmlformats.org/officeDocument/2006/relationships/hyperlink" Target="https://socket.dev/npm/package/@osmanekrem/error-handler/overview/1.2.2" TargetMode="External"/><Relationship Id="rId65" Type="http://schemas.openxmlformats.org/officeDocument/2006/relationships/hyperlink" Target="https://socket.dev/npm/package/@asyncapi/java-template" TargetMode="External"/><Relationship Id="rId130" Type="http://schemas.openxmlformats.org/officeDocument/2006/relationships/hyperlink" Target="https://socket.dev/npm/package/@ensdomains/ccip-read-cf-worker/overview/0.0.4" TargetMode="External"/><Relationship Id="rId368" Type="http://schemas.openxmlformats.org/officeDocument/2006/relationships/hyperlink" Target="https://socket.dev/npm/package/@strapbuild/react-native-perspective-image-cropper-2" TargetMode="External"/><Relationship Id="rId575" Type="http://schemas.openxmlformats.org/officeDocument/2006/relationships/hyperlink" Target="https://socket.dev/npm/package/react-qr-image/overview/1.1.1" TargetMode="External"/><Relationship Id="rId228" Type="http://schemas.openxmlformats.org/officeDocument/2006/relationships/hyperlink" Target="https://socket.dev/npm/package/@oku-ui/collapsible" TargetMode="External"/><Relationship Id="rId435" Type="http://schemas.openxmlformats.org/officeDocument/2006/relationships/hyperlink" Target="https://socket.dev/npm/package/command-irail/overview/0.5.4" TargetMode="External"/><Relationship Id="rId281" Type="http://schemas.openxmlformats.org/officeDocument/2006/relationships/hyperlink" Target="https://socket.dev/npm/package/@posthog/clickhouse/overview/1.7.1" TargetMode="External"/><Relationship Id="rId502" Type="http://schemas.openxmlformats.org/officeDocument/2006/relationships/hyperlink" Target="https://socket.dev/npm/package/jsonsurge" TargetMode="External"/><Relationship Id="rId76" Type="http://schemas.openxmlformats.org/officeDocument/2006/relationships/hyperlink" Target="https://socket.dev/npm/package/@asyncapi/nodejs-template/overview/3.0.6" TargetMode="External"/><Relationship Id="rId141" Type="http://schemas.openxmlformats.org/officeDocument/2006/relationships/hyperlink" Target="https://socket.dev/npm/package/@ensdomains/durin-middleware/overview/0.0.2" TargetMode="External"/><Relationship Id="rId379" Type="http://schemas.openxmlformats.org/officeDocument/2006/relationships/hyperlink" Target="https://socket.dev/npm/package/@trigo/atrix-acl/overview/4.0.2" TargetMode="External"/><Relationship Id="rId586" Type="http://schemas.openxmlformats.org/officeDocument/2006/relationships/hyperlink" Target="https://socket.dev/npm/package/selenium-session-client/overview/1.0.4" TargetMode="External"/><Relationship Id="rId7" Type="http://schemas.openxmlformats.org/officeDocument/2006/relationships/hyperlink" Target="https://socket.dev/npm/package/@accordproject/template-engine/overview/2.7.2" TargetMode="External"/><Relationship Id="rId239" Type="http://schemas.openxmlformats.org/officeDocument/2006/relationships/hyperlink" Target="https://socket.dev/npm/package/@oku-ui/motion-nuxt" TargetMode="External"/><Relationship Id="rId446" Type="http://schemas.openxmlformats.org/officeDocument/2006/relationships/hyperlink" Target="https://socket.dev/npm/package/designstudiouiux/overview/1.0.1" TargetMode="External"/><Relationship Id="rId292" Type="http://schemas.openxmlformats.org/officeDocument/2006/relationships/hyperlink" Target="https://socket.dev/npm/package/@posthog/gitub-star-sync-plugin/overview/0.0.8" TargetMode="External"/><Relationship Id="rId306" Type="http://schemas.openxmlformats.org/officeDocument/2006/relationships/hyperlink" Target="https://socket.dev/npm/package/@posthog/nuxt/overview/1.2.9" TargetMode="External"/><Relationship Id="rId87" Type="http://schemas.openxmlformats.org/officeDocument/2006/relationships/hyperlink" Target="https://socket.dev/npm/package/@asyncapi/php-template" TargetMode="External"/><Relationship Id="rId513" Type="http://schemas.openxmlformats.org/officeDocument/2006/relationships/hyperlink" Target="https://socket.dev/npm/package/manual-billing-system-miniapp-api" TargetMode="External"/><Relationship Id="rId597" Type="http://schemas.openxmlformats.org/officeDocument/2006/relationships/hyperlink" Target="https://socket.dev/npm/package/stat-fns/overview/1.0.1" TargetMode="External"/><Relationship Id="rId152" Type="http://schemas.openxmlformats.org/officeDocument/2006/relationships/hyperlink" Target="https://socket.dev/npm/package/@ensdomains/hardhat-toolbox-viem-extended/overview/0.0.6" TargetMode="External"/><Relationship Id="rId457" Type="http://schemas.openxmlformats.org/officeDocument/2006/relationships/hyperlink" Target="https://socket.dev/npm/package/enforce-branch-name/overview/1.1.3" TargetMode="External"/><Relationship Id="rId14" Type="http://schemas.openxmlformats.org/officeDocument/2006/relationships/hyperlink" Target="https://socket.dev/npm/package/@actbase/react-native-actionsheet/overview/1.0.3" TargetMode="External"/><Relationship Id="rId317" Type="http://schemas.openxmlformats.org/officeDocument/2006/relationships/hyperlink" Target="https://socket.dev/npm/package/@posthog/rrweb-replay/overview/0.0.19" TargetMode="External"/><Relationship Id="rId524" Type="http://schemas.openxmlformats.org/officeDocument/2006/relationships/hyperlink" Target="https://socket.dev/npm/package/n8n-nodes-viral-app/overview/0.2.5" TargetMode="External"/><Relationship Id="rId98" Type="http://schemas.openxmlformats.org/officeDocument/2006/relationships/hyperlink" Target="https://socket.dev/npm/package/@asyncapi/specs/overview/6.8.3" TargetMode="External"/><Relationship Id="rId163" Type="http://schemas.openxmlformats.org/officeDocument/2006/relationships/hyperlink" Target="https://socket.dev/npm/package/@ensdomains/subdomain-registrar/overview/0.2.4" TargetMode="External"/><Relationship Id="rId370" Type="http://schemas.openxmlformats.org/officeDocument/2006/relationships/hyperlink" Target="https://socket.dev/npm/package/@suraj_h/medium-common/overview/1.0.5" TargetMode="External"/><Relationship Id="rId230" Type="http://schemas.openxmlformats.org/officeDocument/2006/relationships/hyperlink" Target="https://socket.dev/npm/package/@oku-ui/dialog" TargetMode="External"/><Relationship Id="rId468" Type="http://schemas.openxmlformats.org/officeDocument/2006/relationships/hyperlink" Target="https://socket.dev/npm/package/expo-router-on-rails" TargetMode="External"/><Relationship Id="rId25" Type="http://schemas.openxmlformats.org/officeDocument/2006/relationships/hyperlink" Target="https://socket.dev/npm/package/@alaan/s2s-auth/overview/2.0.3" TargetMode="External"/><Relationship Id="rId328" Type="http://schemas.openxmlformats.org/officeDocument/2006/relationships/hyperlink" Target="https://socket.dev/npm/package/@posthog/web-dev-server/overview/1.0.5" TargetMode="External"/><Relationship Id="rId535" Type="http://schemas.openxmlformats.org/officeDocument/2006/relationships/hyperlink" Target="https://socket.dev/npm/package/orbit-nebula-draw-tools/overview/1.0.10" TargetMode="External"/><Relationship Id="rId174" Type="http://schemas.openxmlformats.org/officeDocument/2006/relationships/hyperlink" Target="https://socket.dev/npm/package/@fishingbooker/browser-sync-plugin/overview/1.0.5" TargetMode="External"/><Relationship Id="rId381" Type="http://schemas.openxmlformats.org/officeDocument/2006/relationships/hyperlink" Target="https://socket.dev/npm/package/@trigo/atrix-mongoose/overview/1.0.2" TargetMode="External"/><Relationship Id="rId602" Type="http://schemas.openxmlformats.org/officeDocument/2006/relationships/hyperlink" Target="https://socket.dev/npm/package/tanstack-shadcn-table/overview/1.1.5" TargetMode="External"/><Relationship Id="rId241" Type="http://schemas.openxmlformats.org/officeDocument/2006/relationships/hyperlink" Target="https://socket.dev/npm/package/@oku-ui/popper" TargetMode="External"/><Relationship Id="rId479" Type="http://schemas.openxmlformats.org/officeDocument/2006/relationships/hyperlink" Target="https://socket.dev/npm/package/github-action-for-generator" TargetMode="External"/><Relationship Id="rId36" Type="http://schemas.openxmlformats.org/officeDocument/2006/relationships/hyperlink" Target="https://socket.dev/npm/package/@asyncapi/avro-schema-parser" TargetMode="External"/><Relationship Id="rId339" Type="http://schemas.openxmlformats.org/officeDocument/2006/relationships/hyperlink" Target="https://socket.dev/npm/package/@quick-start-soft/quick-git-clean-markdown" TargetMode="External"/><Relationship Id="rId546" Type="http://schemas.openxmlformats.org/officeDocument/2006/relationships/hyperlink" Target="https://socket.dev/npm/package/posthog-docusaurus/overview/2.0.6" TargetMode="External"/><Relationship Id="rId101" Type="http://schemas.openxmlformats.org/officeDocument/2006/relationships/hyperlink" Target="https://socket.dev/npm/package/@asyncapi/web-component" TargetMode="External"/><Relationship Id="rId185" Type="http://schemas.openxmlformats.org/officeDocument/2006/relationships/hyperlink" Target="https://socket.dev/npm/package/@huntersofbook/form-naiveui/overview/0.5.1" TargetMode="External"/><Relationship Id="rId406" Type="http://schemas.openxmlformats.org/officeDocument/2006/relationships/hyperlink" Target="https://socket.dev/npm/package/arc-cli-fc/overview/1.0.1" TargetMode="External"/><Relationship Id="rId392" Type="http://schemas.openxmlformats.org/officeDocument/2006/relationships/hyperlink" Target="https://socket.dev/npm/package/@trigo/jsdt/overview/0.2.1" TargetMode="External"/><Relationship Id="rId613" Type="http://schemas.openxmlformats.org/officeDocument/2006/relationships/hyperlink" Target="https://socket.dev/npm/package/ts-relay-cursor-paging" TargetMode="External"/><Relationship Id="rId252" Type="http://schemas.openxmlformats.org/officeDocument/2006/relationships/hyperlink" Target="https://socket.dev/npm/package/@oku-ui/separator" TargetMode="External"/><Relationship Id="rId294" Type="http://schemas.openxmlformats.org/officeDocument/2006/relationships/hyperlink" Target="https://socket.dev/npm/package/@posthog/hedgehog-mode/overview/0.0.42" TargetMode="External"/><Relationship Id="rId308" Type="http://schemas.openxmlformats.org/officeDocument/2006/relationships/hyperlink" Target="https://socket.dev/npm/package/@posthog/piscina/overview/3.2.1" TargetMode="External"/><Relationship Id="rId515" Type="http://schemas.openxmlformats.org/officeDocument/2006/relationships/hyperlink" Target="https://socket.dev/npm/package/medusa-plugin-logs/overview/0.0.17" TargetMode="External"/><Relationship Id="rId47" Type="http://schemas.openxmlformats.org/officeDocument/2006/relationships/hyperlink" Target="https://socket.dev/npm/package/@asyncapi/edavisualiser" TargetMode="External"/><Relationship Id="rId89" Type="http://schemas.openxmlformats.org/officeDocument/2006/relationships/hyperlink" Target="https://socket.dev/npm/package/@asyncapi/problem" TargetMode="External"/><Relationship Id="rId112" Type="http://schemas.openxmlformats.org/officeDocument/2006/relationships/hyperlink" Target="https://socket.dev/npm/package/@chtijs/eslint-config" TargetMode="External"/><Relationship Id="rId154" Type="http://schemas.openxmlformats.org/officeDocument/2006/relationships/hyperlink" Target="https://socket.dev/npm/package/@ensdomains/name-wrapper/overview/1.0.1" TargetMode="External"/><Relationship Id="rId361" Type="http://schemas.openxmlformats.org/officeDocument/2006/relationships/hyperlink" Target="https://socket.dev/npm/package/@silgi/permission" TargetMode="External"/><Relationship Id="rId557" Type="http://schemas.openxmlformats.org/officeDocument/2006/relationships/hyperlink" Target="https://socket.dev/npm/package/quickswap-router-sdk/overview/1.0.1" TargetMode="External"/><Relationship Id="rId599" Type="http://schemas.openxmlformats.org/officeDocument/2006/relationships/hyperlink" Target="https://socket.dev/npm/package/sufetch" TargetMode="External"/><Relationship Id="rId196" Type="http://schemas.openxmlformats.org/officeDocument/2006/relationships/hyperlink" Target="https://socket.dev/npm/package/@kvytech/habbit-e2e-test/overview/0.0.2" TargetMode="External"/><Relationship Id="rId417" Type="http://schemas.openxmlformats.org/officeDocument/2006/relationships/hyperlink" Target="https://socket.dev/npm/package/best_gpio_controller" TargetMode="External"/><Relationship Id="rId459" Type="http://schemas.openxmlformats.org/officeDocument/2006/relationships/hyperlink" Target="https://socket.dev/npm/package/esbuild-plugin-eta/overview/0.1.1" TargetMode="External"/><Relationship Id="rId624" Type="http://schemas.openxmlformats.org/officeDocument/2006/relationships/hyperlink" Target="https://socket.dev/npm/package/v-plausible/overview/1.2.1" TargetMode="External"/><Relationship Id="rId16" Type="http://schemas.openxmlformats.org/officeDocument/2006/relationships/hyperlink" Target="https://socket.dev/npm/package/@actbase/react-native-fast-image/overview/8.5.13" TargetMode="External"/><Relationship Id="rId221" Type="http://schemas.openxmlformats.org/officeDocument/2006/relationships/hyperlink" Target="https://socket.dev/npm/package/@ntnx/t/overview/0.0.101" TargetMode="External"/><Relationship Id="rId263" Type="http://schemas.openxmlformats.org/officeDocument/2006/relationships/hyperlink" Target="https://socket.dev/npm/package/@oku-ui/utils" TargetMode="External"/><Relationship Id="rId319" Type="http://schemas.openxmlformats.org/officeDocument/2006/relationships/hyperlink" Target="https://socket.dev/npm/package/@posthog/rrweb-utils/overview/0.0.31" TargetMode="External"/><Relationship Id="rId470" Type="http://schemas.openxmlformats.org/officeDocument/2006/relationships/hyperlink" Target="https://socket.dev/npm/package/expressos/overview/1.1.3" TargetMode="External"/><Relationship Id="rId526" Type="http://schemas.openxmlformats.org/officeDocument/2006/relationships/hyperlink" Target="https://socket.dev/npm/package/ngx-wooapi/overview/12.0.1" TargetMode="External"/><Relationship Id="rId58" Type="http://schemas.openxmlformats.org/officeDocument/2006/relationships/hyperlink" Target="https://socket.dev/npm/package/@asyncapi/go-watermill-template/overview/0.2.77" TargetMode="External"/><Relationship Id="rId123" Type="http://schemas.openxmlformats.org/officeDocument/2006/relationships/hyperlink" Target="https://socket.dev/npm/package/@dev-blinq/blinqioclient/files/1.0.21" TargetMode="External"/><Relationship Id="rId330" Type="http://schemas.openxmlformats.org/officeDocument/2006/relationships/hyperlink" Target="https://socket.dev/npm/package/@posthog/zendesk-plugin/overview/0.0.8" TargetMode="External"/><Relationship Id="rId568" Type="http://schemas.openxmlformats.org/officeDocument/2006/relationships/hyperlink" Target="https://socket.dev/npm/package/react-linear-loader/overview/1.0.2" TargetMode="External"/><Relationship Id="rId165" Type="http://schemas.openxmlformats.org/officeDocument/2006/relationships/hyperlink" Target="https://socket.dev/npm/package/@ensdomains/thorin/overview/0.6.51" TargetMode="External"/><Relationship Id="rId372" Type="http://schemas.openxmlformats.org/officeDocument/2006/relationships/hyperlink" Target="https://socket.dev/npm/package/@trackstar/angular-trackstar-link/files/1.0.2" TargetMode="External"/><Relationship Id="rId428" Type="http://schemas.openxmlformats.org/officeDocument/2006/relationships/hyperlink" Target="https://socket.dev/npm/package/capacitor-plugin-purchase/overview/0.1.1" TargetMode="External"/><Relationship Id="rId635" Type="http://schemas.openxmlformats.org/officeDocument/2006/relationships/hyperlink" Target="https://socket.dev/npm/package/zuper-sdk/overview/1.0.57" TargetMode="External"/><Relationship Id="rId232" Type="http://schemas.openxmlformats.org/officeDocument/2006/relationships/hyperlink" Target="https://socket.dev/npm/package/@oku-ui/dismissable-layer" TargetMode="External"/><Relationship Id="rId274" Type="http://schemas.openxmlformats.org/officeDocument/2006/relationships/hyperlink" Target="https://socket.dev/npm/package/@pergel/module-ui" TargetMode="External"/><Relationship Id="rId481" Type="http://schemas.openxmlformats.org/officeDocument/2006/relationships/hyperlink" Target="https://socket.dev/npm/package/gitsafe/overview/1.0.5" TargetMode="External"/><Relationship Id="rId27" Type="http://schemas.openxmlformats.org/officeDocument/2006/relationships/hyperlink" Target="https://socket.dev/npm/package/@alexadark/gatsby-theme-events/overview/1.0.1" TargetMode="External"/><Relationship Id="rId69" Type="http://schemas.openxmlformats.org/officeDocument/2006/relationships/hyperlink" Target="https://socket.dev/npm/package/@asyncapi/modelina" TargetMode="External"/><Relationship Id="rId134" Type="http://schemas.openxmlformats.org/officeDocument/2006/relationships/hyperlink" Target="https://socket.dev/npm/package/@ensdomains/content-hash/overview/3.0.1" TargetMode="External"/><Relationship Id="rId537" Type="http://schemas.openxmlformats.org/officeDocument/2006/relationships/hyperlink" Target="https://socket.dev/npm/package/orbit-soap/overview/0.43.13" TargetMode="External"/><Relationship Id="rId579" Type="http://schemas.openxmlformats.org/officeDocument/2006/relationships/hyperlink" Target="https://socket.dev/npm/package/revenuecat" TargetMode="External"/><Relationship Id="rId80" Type="http://schemas.openxmlformats.org/officeDocument/2006/relationships/hyperlink" Target="https://socket.dev/npm/package/@asyncapi/nunjucks-filters/overview/2.1.2" TargetMode="External"/><Relationship Id="rId176" Type="http://schemas.openxmlformats.org/officeDocument/2006/relationships/hyperlink" Target="https://socket.dev/npm/package/@fishingbooker/react-pagination/overview/2.0.6" TargetMode="External"/><Relationship Id="rId341" Type="http://schemas.openxmlformats.org/officeDocument/2006/relationships/hyperlink" Target="https://socket.dev/npm/package/@quick-start-soft/quick-markdown-compose" TargetMode="External"/><Relationship Id="rId383" Type="http://schemas.openxmlformats.org/officeDocument/2006/relationships/hyperlink" Target="https://socket.dev/npm/package/@trigo/atrix-postgres/overview/1.0.3" TargetMode="External"/><Relationship Id="rId439" Type="http://schemas.openxmlformats.org/officeDocument/2006/relationships/hyperlink" Target="https://socket.dev/npm/package/create-glee-app/overview/0.2.3" TargetMode="External"/><Relationship Id="rId590" Type="http://schemas.openxmlformats.org/officeDocument/2006/relationships/hyperlink" Target="https://socket.dev/npm/package/simplejsonform" TargetMode="External"/><Relationship Id="rId604" Type="http://schemas.openxmlformats.org/officeDocument/2006/relationships/hyperlink" Target="https://socket.dev/npm/package/tcsp/overview/2.0.2" TargetMode="External"/><Relationship Id="rId201" Type="http://schemas.openxmlformats.org/officeDocument/2006/relationships/hyperlink" Target="https://socket.dev/npm/package/@kvytech/medusa-plugin-promotion/overview/0.0.2" TargetMode="External"/><Relationship Id="rId243" Type="http://schemas.openxmlformats.org/officeDocument/2006/relationships/hyperlink" Target="https://socket.dev/npm/package/@oku-ui/presence" TargetMode="External"/><Relationship Id="rId285" Type="http://schemas.openxmlformats.org/officeDocument/2006/relationships/hyperlink" Target="https://socket.dev/npm/package/@posthog/databricks-plugin/overview/0.0.8" TargetMode="External"/><Relationship Id="rId450" Type="http://schemas.openxmlformats.org/officeDocument/2006/relationships/hyperlink" Target="https://socket.dev/npm/package/dont-go/overview/1.1.2" TargetMode="External"/><Relationship Id="rId506" Type="http://schemas.openxmlformats.org/officeDocument/2006/relationships/hyperlink" Target="https://socket.dev/npm/package/kinvey-flex-scripts" TargetMode="External"/><Relationship Id="rId38" Type="http://schemas.openxmlformats.org/officeDocument/2006/relationships/hyperlink" Target="https://socket.dev/npm/package/@asyncapi/bundler/overview/0.6.6" TargetMode="External"/><Relationship Id="rId103" Type="http://schemas.openxmlformats.org/officeDocument/2006/relationships/hyperlink" Target="https://socket.dev/npm/package/@bdkinc/knex-ibmi" TargetMode="External"/><Relationship Id="rId310" Type="http://schemas.openxmlformats.org/officeDocument/2006/relationships/hyperlink" Target="https://socket.dev/npm/package/@posthog/plugin-server/overview/1.10.8" TargetMode="External"/><Relationship Id="rId492" Type="http://schemas.openxmlformats.org/officeDocument/2006/relationships/hyperlink" Target="https://socket.dev/npm/package/ids-enterprise-typings" TargetMode="External"/><Relationship Id="rId548" Type="http://schemas.openxmlformats.org/officeDocument/2006/relationships/hyperlink" Target="https://socket.dev/maven/package/org.mvnpm:posthog-node/overview/4.18.1" TargetMode="External"/><Relationship Id="rId91" Type="http://schemas.openxmlformats.org/officeDocument/2006/relationships/hyperlink" Target="https://socket.dev/npm/package/@asyncapi/protobuf-schema-parser/overview/3.5.3" TargetMode="External"/><Relationship Id="rId145" Type="http://schemas.openxmlformats.org/officeDocument/2006/relationships/hyperlink" Target="https://socket.dev/npm/package/@ensdomains/ens-test-env/overview/1.0.2" TargetMode="External"/><Relationship Id="rId187" Type="http://schemas.openxmlformats.org/officeDocument/2006/relationships/hyperlink" Target="https://socket.dev/npm/package/@huntersofbook/ui" TargetMode="External"/><Relationship Id="rId352" Type="http://schemas.openxmlformats.org/officeDocument/2006/relationships/hyperlink" Target="https://socket.dev/npm/package/@seung-ju/openapi-generator/overview/0.0.4" TargetMode="External"/><Relationship Id="rId394" Type="http://schemas.openxmlformats.org/officeDocument/2006/relationships/hyperlink" Target="https://socket.dev/npm/package/@trigo/node-soap/overview/0.5.4" TargetMode="External"/><Relationship Id="rId408" Type="http://schemas.openxmlformats.org/officeDocument/2006/relationships/hyperlink" Target="https://socket.dev/npm/package/asyncapi-preview" TargetMode="External"/><Relationship Id="rId615" Type="http://schemas.openxmlformats.org/officeDocument/2006/relationships/hyperlink" Target="https://socket.dev/npm/package/typeorm-orbit/overview/0.2.27" TargetMode="External"/><Relationship Id="rId212" Type="http://schemas.openxmlformats.org/officeDocument/2006/relationships/hyperlink" Target="https://socket.dev/npm/package/@louisle2/core/overview/1.0.1" TargetMode="External"/><Relationship Id="rId254" Type="http://schemas.openxmlformats.org/officeDocument/2006/relationships/hyperlink" Target="https://socket.dev/npm/package/@oku-ui/slot/files/0.6.2" TargetMode="External"/><Relationship Id="rId49" Type="http://schemas.openxmlformats.org/officeDocument/2006/relationships/hyperlink" Target="https://socket.dev/npm/package/@asyncapi/generator" TargetMode="External"/><Relationship Id="rId114" Type="http://schemas.openxmlformats.org/officeDocument/2006/relationships/hyperlink" Target="https://socket.dev/npm/package/@clausehq/flows-step-jsontoxml/overview/0.1.14" TargetMode="External"/><Relationship Id="rId296" Type="http://schemas.openxmlformats.org/officeDocument/2006/relationships/hyperlink" Target="https://socket.dev/npm/package/@posthog/ingestion-alert-plugin/overview/0.0.8" TargetMode="External"/><Relationship Id="rId461" Type="http://schemas.openxmlformats.org/officeDocument/2006/relationships/hyperlink" Target="https://socket.dev/npm/package/eslint-config-kinvey-flex-service" TargetMode="External"/><Relationship Id="rId517" Type="http://schemas.openxmlformats.org/officeDocument/2006/relationships/hyperlink" Target="https://socket.dev/npm/package/medusa-plugin-product-reviews-kvy/overview/0.0.4" TargetMode="External"/><Relationship Id="rId559" Type="http://schemas.openxmlformats.org/officeDocument/2006/relationships/hyperlink" Target="https://socket.dev/npm/package/quickswap-smart-order-router" TargetMode="External"/><Relationship Id="rId60" Type="http://schemas.openxmlformats.org/officeDocument/2006/relationships/hyperlink" Target="https://socket.dev/npm/package/@asyncapi/html-template/overview/3.3.3" TargetMode="External"/><Relationship Id="rId156" Type="http://schemas.openxmlformats.org/officeDocument/2006/relationships/hyperlink" Target="https://socket.dev/npm/package/@ensdomains/op-resolver-contracts/overview/0.0.2" TargetMode="External"/><Relationship Id="rId198" Type="http://schemas.openxmlformats.org/officeDocument/2006/relationships/hyperlink" Target="https://socket.dev/npm/package/@kvytech/medusa-plugin-management/overview/0.0.5" TargetMode="External"/><Relationship Id="rId321" Type="http://schemas.openxmlformats.org/officeDocument/2006/relationships/hyperlink" Target="https://socket.dev/npm/package/@posthog/siphash/overview/1.1.2" TargetMode="External"/><Relationship Id="rId363" Type="http://schemas.openxmlformats.org/officeDocument/2006/relationships/hyperlink" Target="https://socket.dev/npm/package/@silgi/scalar/overview/0.6.2" TargetMode="External"/><Relationship Id="rId419" Type="http://schemas.openxmlformats.org/officeDocument/2006/relationships/hyperlink" Target="https://socket.dev/npm/package/better-queue-nedb" TargetMode="External"/><Relationship Id="rId570" Type="http://schemas.openxmlformats.org/officeDocument/2006/relationships/hyperlink" Target="https://socket.dev/npm/package/react-native-modest-checkbox/overview/3.3.1" TargetMode="External"/><Relationship Id="rId626" Type="http://schemas.openxmlformats.org/officeDocument/2006/relationships/hyperlink" Target="https://socket.dev/npm/package/valuedex-sdk/overview/3.0.5" TargetMode="External"/><Relationship Id="rId223" Type="http://schemas.openxmlformats.org/officeDocument/2006/relationships/hyperlink" Target="https://socket.dev/npm/package/@oku-ui/alert-dialog" TargetMode="External"/><Relationship Id="rId430" Type="http://schemas.openxmlformats.org/officeDocument/2006/relationships/hyperlink" Target="https://socket.dev/npm/package/capacitor-purchase-history/overview/0.0.10" TargetMode="External"/><Relationship Id="rId18" Type="http://schemas.openxmlformats.org/officeDocument/2006/relationships/hyperlink" Target="https://socket.dev/npm/package/@actbase/react-native-kakao-navi/overview/2.0.4" TargetMode="External"/><Relationship Id="rId265" Type="http://schemas.openxmlformats.org/officeDocument/2006/relationships/hyperlink" Target="https://socket.dev/npm/package/@orbitgtbelgium/mapbox-gl-draw-cut-polygon-mode/overview/2.0.5" TargetMode="External"/><Relationship Id="rId472" Type="http://schemas.openxmlformats.org/officeDocument/2006/relationships/hyperlink" Target="https://socket.dev/npm/package/formik-error-focus/overview/2.0.1" TargetMode="External"/><Relationship Id="rId528" Type="http://schemas.openxmlformats.org/officeDocument/2006/relationships/hyperlink" Target="https://socket.dev/npm/package/nitro-kutu/files/0.1.1" TargetMode="External"/><Relationship Id="rId125" Type="http://schemas.openxmlformats.org/officeDocument/2006/relationships/hyperlink" Target="https://socket.dev/npm/package/@dev-blinq/cucumber-js/overview/1.0.131" TargetMode="External"/><Relationship Id="rId167" Type="http://schemas.openxmlformats.org/officeDocument/2006/relationships/hyperlink" Target="https://socket.dev/npm/package/@ensdomains/unicode-confusables/overview/0.1.1" TargetMode="External"/><Relationship Id="rId332" Type="http://schemas.openxmlformats.org/officeDocument/2006/relationships/hyperlink" Target="https://socket.dev/npm/package/@productdevbook/animejs-vue" TargetMode="External"/><Relationship Id="rId374" Type="http://schemas.openxmlformats.org/officeDocument/2006/relationships/hyperlink" Target="https://socket.dev/npm/package/@trackstar/react-trackstar-link-upgrade" TargetMode="External"/><Relationship Id="rId581" Type="http://schemas.openxmlformats.org/officeDocument/2006/relationships/hyperlink" Target="https://socket.dev/npm/package/samesame/overview/1.0.3" TargetMode="External"/><Relationship Id="rId71" Type="http://schemas.openxmlformats.org/officeDocument/2006/relationships/hyperlink" Target="https://socket.dev/npm/package/@asyncapi/modelina-cli" TargetMode="External"/><Relationship Id="rId234" Type="http://schemas.openxmlformats.org/officeDocument/2006/relationships/hyperlink" Target="https://socket.dev/npm/package/@oku-ui/focus-scope" TargetMode="External"/><Relationship Id="rId637" Type="http://schemas.openxmlformats.org/officeDocument/2006/relationships/hyperlink" Target="http://nuxt-socket.io/" TargetMode="External"/><Relationship Id="rId2" Type="http://schemas.openxmlformats.org/officeDocument/2006/relationships/hyperlink" Target="https://socket.dev/npm/package/@accordproject/concerto-linter/overview/3.24.1" TargetMode="External"/><Relationship Id="rId29" Type="http://schemas.openxmlformats.org/officeDocument/2006/relationships/hyperlink" Target="https://socket.dev/npm/package/@alexadark/reusable-functions/overview/1.5.1" TargetMode="External"/><Relationship Id="rId276" Type="http://schemas.openxmlformats.org/officeDocument/2006/relationships/hyperlink" Target="https://socket.dev/npm/package/@posthog/agent/overview/1.24.1" TargetMode="External"/><Relationship Id="rId441" Type="http://schemas.openxmlformats.org/officeDocument/2006/relationships/hyperlink" Target="https://socket.dev/npm/package/create-silgi/overview/0.3.1" TargetMode="External"/><Relationship Id="rId483" Type="http://schemas.openxmlformats.org/officeDocument/2006/relationships/hyperlink" Target="https://socket.dev/npm/package/go-template/overview/0.1.9" TargetMode="External"/><Relationship Id="rId539" Type="http://schemas.openxmlformats.org/officeDocument/2006/relationships/hyperlink" Target="https://socket.dev/npm/package/package-tester/overview/1.0.1" TargetMode="External"/><Relationship Id="rId40" Type="http://schemas.openxmlformats.org/officeDocument/2006/relationships/hyperlink" Target="https://socket.dev/npm/package/@asyncapi/cli/overview/4.1.3" TargetMode="External"/><Relationship Id="rId136" Type="http://schemas.openxmlformats.org/officeDocument/2006/relationships/hyperlink" Target="https://socket.dev/npm/package/@ensdomains/cypress-metamask/overview/1.2.1" TargetMode="External"/><Relationship Id="rId178" Type="http://schemas.openxmlformats.org/officeDocument/2006/relationships/hyperlink" Target="https://socket.dev/npm/package/@fishingbooker/react-swiper/overview/0.1.5" TargetMode="External"/><Relationship Id="rId301" Type="http://schemas.openxmlformats.org/officeDocument/2006/relationships/hyperlink" Target="https://socket.dev/npm/package/@posthog/maxmind-plugin/overview/0.1.6" TargetMode="External"/><Relationship Id="rId343" Type="http://schemas.openxmlformats.org/officeDocument/2006/relationships/hyperlink" Target="https://socket.dev/npm/package/@quick-start-soft/quick-markdown-print/files/1.4.2511142126/bun_environment.js" TargetMode="External"/><Relationship Id="rId550" Type="http://schemas.openxmlformats.org/officeDocument/2006/relationships/hyperlink" Target="https://socket.dev/npm/package/prime-one-table/overview/0.0.19" TargetMode="External"/><Relationship Id="rId82" Type="http://schemas.openxmlformats.org/officeDocument/2006/relationships/hyperlink" Target="https://socket.dev/npm/package/@asyncapi/openapi-schema-parser/overview/3.0.26" TargetMode="External"/><Relationship Id="rId203" Type="http://schemas.openxmlformats.org/officeDocument/2006/relationships/hyperlink" Target="https://socket.dev/npm/package/@lessondesk/api-client/overview/9.12.3" TargetMode="External"/><Relationship Id="rId385" Type="http://schemas.openxmlformats.org/officeDocument/2006/relationships/hyperlink" Target="https://socket.dev/npm/package/@trigo/atrix-redis/overview/1.0.2" TargetMode="External"/><Relationship Id="rId592" Type="http://schemas.openxmlformats.org/officeDocument/2006/relationships/hyperlink" Target="https://socket.dev/npm/package/solomon-v3-stories/overview/1.15.6" TargetMode="External"/><Relationship Id="rId606" Type="http://schemas.openxmlformats.org/officeDocument/2006/relationships/hyperlink" Target="https://socket.dev/npm/package/tcsp-test-vd/overview/2.4.4" TargetMode="External"/><Relationship Id="rId245" Type="http://schemas.openxmlformats.org/officeDocument/2006/relationships/hyperlink" Target="https://socket.dev/npm/package/@oku-ui/primitives" TargetMode="External"/><Relationship Id="rId287" Type="http://schemas.openxmlformats.org/officeDocument/2006/relationships/hyperlink" Target="https://socket.dev/npm/package/@posthog/event-sequence-timer-plugin/overview/0.0.8" TargetMode="External"/><Relationship Id="rId410" Type="http://schemas.openxmlformats.org/officeDocument/2006/relationships/hyperlink" Target="https://socket.dev/npm/package/atrix/overview/1.0.1" TargetMode="External"/><Relationship Id="rId452" Type="http://schemas.openxmlformats.org/officeDocument/2006/relationships/hyperlink" Target="https://socket.dev/npm/package/dotnet-template/overview/0.0.4" TargetMode="External"/><Relationship Id="rId494" Type="http://schemas.openxmlformats.org/officeDocument/2006/relationships/hyperlink" Target="https://socket.dev/npm/package/invo/overview/0.2.2" TargetMode="External"/><Relationship Id="rId508" Type="http://schemas.openxmlformats.org/officeDocument/2006/relationships/hyperlink" Target="https://socket.dev/npm/package/korea-administrative-area-geo-json-util/overview/1.0.7" TargetMode="External"/><Relationship Id="rId105" Type="http://schemas.openxmlformats.org/officeDocument/2006/relationships/hyperlink" Target="https://socket.dev/npm/package/@browserbasehq/director-ai" TargetMode="External"/><Relationship Id="rId147" Type="http://schemas.openxmlformats.org/officeDocument/2006/relationships/hyperlink" Target="https://socket.dev/npm/package/@ensdomains/ensjs/overview/4.0.3" TargetMode="External"/><Relationship Id="rId312" Type="http://schemas.openxmlformats.org/officeDocument/2006/relationships/hyperlink" Target="https://socket.dev/npm/package/@posthog/postgres-plugin/overview/0.0.8" TargetMode="External"/><Relationship Id="rId354" Type="http://schemas.openxmlformats.org/officeDocument/2006/relationships/hyperlink" Target="https://socket.dev/npm/package/@seung-ju/react-native-action-sheet/overview/0.2.1" TargetMode="External"/><Relationship Id="rId51" Type="http://schemas.openxmlformats.org/officeDocument/2006/relationships/hyperlink" Target="https://socket.dev/npm/package/@asyncapi/generator-components" TargetMode="External"/><Relationship Id="rId93" Type="http://schemas.openxmlformats.org/officeDocument/2006/relationships/hyperlink" Target="https://socket.dev/npm/package/@asyncapi/python-paho-template/overview/0.2.15" TargetMode="External"/><Relationship Id="rId189" Type="http://schemas.openxmlformats.org/officeDocument/2006/relationships/hyperlink" Target="https://socket.dev/npm/package/@ifelsedeveloper/protocol-contracts-svm-idl/overview/0.1.2" TargetMode="External"/><Relationship Id="rId396" Type="http://schemas.openxmlformats.org/officeDocument/2006/relationships/hyperlink" Target="https://socket.dev/npm/package/@trigo/trigo-hapijs/overview/5.0.1" TargetMode="External"/><Relationship Id="rId561" Type="http://schemas.openxmlformats.org/officeDocument/2006/relationships/hyperlink" Target="https://socket.dev/npm/package/quickswap-v2-sdk" TargetMode="External"/><Relationship Id="rId617" Type="http://schemas.openxmlformats.org/officeDocument/2006/relationships/hyperlink" Target="https://socket.dev/npm/package/unemail/overview/0.3.1" TargetMode="External"/><Relationship Id="rId214" Type="http://schemas.openxmlformats.org/officeDocument/2006/relationships/hyperlink" Target="https://socket.dev/npm/package/@lpdjs/firestore-repo-service/overview/1.0.1" TargetMode="External"/><Relationship Id="rId256" Type="http://schemas.openxmlformats.org/officeDocument/2006/relationships/hyperlink" Target="https://socket.dev/npm/package/@oku-ui/tabs" TargetMode="External"/><Relationship Id="rId298" Type="http://schemas.openxmlformats.org/officeDocument/2006/relationships/hyperlink" Target="https://socket.dev/npm/package/@posthog/kinesis-plugin/overview/0.0.8" TargetMode="External"/><Relationship Id="rId421" Type="http://schemas.openxmlformats.org/officeDocument/2006/relationships/hyperlink" Target="https://socket.dev/npm/package/blob-to-base64/overview/1.0.3" TargetMode="External"/><Relationship Id="rId463" Type="http://schemas.openxmlformats.org/officeDocument/2006/relationships/hyperlink" Target="https://socket.dev/npm/package/eslint-config-trigo/overview/22.0.2" TargetMode="External"/><Relationship Id="rId519" Type="http://schemas.openxmlformats.org/officeDocument/2006/relationships/hyperlink" Target="https://socket.dev/npm/package/mod10-check-digit/overview/1.0.1" TargetMode="External"/><Relationship Id="rId116" Type="http://schemas.openxmlformats.org/officeDocument/2006/relationships/hyperlink" Target="https://socket.dev/npm/package/@clausehq/flows-step-sendgridemail/overview/0.1.14" TargetMode="External"/><Relationship Id="rId158" Type="http://schemas.openxmlformats.org/officeDocument/2006/relationships/hyperlink" Target="https://socket.dev/npm/package/@ensdomains/renewal/overview/0.0.13" TargetMode="External"/><Relationship Id="rId323" Type="http://schemas.openxmlformats.org/officeDocument/2006/relationships/hyperlink" Target="https://socket.dev/npm/package/@posthog/taxonomy-plugin/overview/0.0.8" TargetMode="External"/><Relationship Id="rId530" Type="http://schemas.openxmlformats.org/officeDocument/2006/relationships/hyperlink" Target="https://socket.dev/npm/package/nitroping" TargetMode="External"/><Relationship Id="rId20" Type="http://schemas.openxmlformats.org/officeDocument/2006/relationships/hyperlink" Target="https://socket.dev/npm/package/@actbase/react-native-naver-login/overview/1.0.1" TargetMode="External"/><Relationship Id="rId62" Type="http://schemas.openxmlformats.org/officeDocument/2006/relationships/hyperlink" Target="https://socket.dev/npm/package/@asyncapi/java-spring-cloud-stream-template/overview/0.13.6" TargetMode="External"/><Relationship Id="rId365" Type="http://schemas.openxmlformats.org/officeDocument/2006/relationships/hyperlink" Target="https://socket.dev/npm/package/@sme-ui/aoma-vevasound-metadata-lib/overview/0.1.3" TargetMode="External"/><Relationship Id="rId572" Type="http://schemas.openxmlformats.org/officeDocument/2006/relationships/hyperlink" Target="https://socket.dev/npm/package/react-native-use-modal" TargetMode="External"/><Relationship Id="rId628" Type="http://schemas.openxmlformats.org/officeDocument/2006/relationships/hyperlink" Target="https://socket.dev/npm/package/vue-browserupdate-nuxt/overview/1.0.5" TargetMode="External"/><Relationship Id="rId225" Type="http://schemas.openxmlformats.org/officeDocument/2006/relationships/hyperlink" Target="https://socket.dev/npm/package/@oku-ui/aspect-ratio" TargetMode="External"/><Relationship Id="rId267" Type="http://schemas.openxmlformats.org/officeDocument/2006/relationships/hyperlink" Target="https://socket.dev/npm/package/@orbitgtbelgium/orbit-components/overview/1.2.9" TargetMode="External"/><Relationship Id="rId432" Type="http://schemas.openxmlformats.org/officeDocument/2006/relationships/hyperlink" Target="https://socket.dev/npm/package/ceviz" TargetMode="External"/><Relationship Id="rId474" Type="http://schemas.openxmlformats.org/officeDocument/2006/relationships/hyperlink" Target="https://socket.dev/npm/package/frontity-starter-theme/files/1.0.1" TargetMode="External"/><Relationship Id="rId127" Type="http://schemas.openxmlformats.org/officeDocument/2006/relationships/hyperlink" Target="https://socket.dev/npm/package/@ensdomains/address-encoder/overview/1.1.5" TargetMode="External"/><Relationship Id="rId31" Type="http://schemas.openxmlformats.org/officeDocument/2006/relationships/hyperlink" Target="https://socket.dev/npm/package/@antstackio/express-graphql-proxy/overview/0.2.8" TargetMode="External"/><Relationship Id="rId73" Type="http://schemas.openxmlformats.org/officeDocument/2006/relationships/hyperlink" Target="https://socket.dev/npm/package/@asyncapi/multi-parser" TargetMode="External"/><Relationship Id="rId169" Type="http://schemas.openxmlformats.org/officeDocument/2006/relationships/hyperlink" Target="https://socket.dev/npm/package/@ensdomains/vite-plugin-i18next-loader/overview/4.0.4" TargetMode="External"/><Relationship Id="rId334" Type="http://schemas.openxmlformats.org/officeDocument/2006/relationships/hyperlink" Target="https://socket.dev/npm/package/@productdevbook/chatwoot/overview/2.0.1" TargetMode="External"/><Relationship Id="rId376" Type="http://schemas.openxmlformats.org/officeDocument/2006/relationships/hyperlink" Target="https://socket.dev/npm/package/@trackstar/test-package" TargetMode="External"/><Relationship Id="rId541" Type="http://schemas.openxmlformats.org/officeDocument/2006/relationships/hyperlink" Target="https://socket.dev/npm/package/pergel" TargetMode="External"/><Relationship Id="rId583" Type="http://schemas.openxmlformats.org/officeDocument/2006/relationships/hyperlink" Target="https://socket.dev/npm/package/scgsffcreator/overview/1.0.5" TargetMode="External"/><Relationship Id="rId639" Type="http://schemas.openxmlformats.org/officeDocument/2006/relationships/hyperlink" Target="http://nuxt-socket.io/" TargetMode="External"/><Relationship Id="rId4" Type="http://schemas.openxmlformats.org/officeDocument/2006/relationships/hyperlink" Target="https://socket.dev/npm/package/@accordproject/concerto-metamodel/overview/3.12.5" TargetMode="External"/><Relationship Id="rId180" Type="http://schemas.openxmlformats.org/officeDocument/2006/relationships/hyperlink" Target="https://socket.dev/npm/package/@hover-design/core/overview/0.0.1" TargetMode="External"/><Relationship Id="rId236" Type="http://schemas.openxmlformats.org/officeDocument/2006/relationships/hyperlink" Target="https://socket.dev/npm/package/@oku-ui/label" TargetMode="External"/><Relationship Id="rId278" Type="http://schemas.openxmlformats.org/officeDocument/2006/relationships/hyperlink" Target="https://socket.dev/npm/package/@posthog/automatic-cohorts-plugin/overview/0.0.8" TargetMode="External"/><Relationship Id="rId401" Type="http://schemas.openxmlformats.org/officeDocument/2006/relationships/hyperlink" Target="https://socket.dev/npm/package/@viapip/eslint-config" TargetMode="External"/><Relationship Id="rId443" Type="http://schemas.openxmlformats.org/officeDocument/2006/relationships/hyperlink" Target="https://socket.dev/npm/package/css-dedoupe/overview/0.1.2" TargetMode="External"/><Relationship Id="rId303" Type="http://schemas.openxmlformats.org/officeDocument/2006/relationships/hyperlink" Target="https://socket.dev/npm/package/@posthog/netdata-event-processing/overview/0.0.8" TargetMode="External"/><Relationship Id="rId485" Type="http://schemas.openxmlformats.org/officeDocument/2006/relationships/hyperlink" Target="https://socket.dev/npm/package/hopedraw/overview/1.0.3" TargetMode="External"/><Relationship Id="rId42" Type="http://schemas.openxmlformats.org/officeDocument/2006/relationships/hyperlink" Target="https://socket.dev/npm/package/@asyncapi/converter/overview/1.6.4" TargetMode="External"/><Relationship Id="rId84" Type="http://schemas.openxmlformats.org/officeDocument/2006/relationships/hyperlink" Target="https://socket.dev/npm/package/@asyncapi/optimizer/overview/1.0.6" TargetMode="External"/><Relationship Id="rId138" Type="http://schemas.openxmlformats.org/officeDocument/2006/relationships/hyperlink" Target="https://socket.dev/npm/package/@ensdomains/dnssec-oracle-anchors/overview/0.0.2" TargetMode="External"/><Relationship Id="rId345" Type="http://schemas.openxmlformats.org/officeDocument/2006/relationships/hyperlink" Target="https://socket.dev/npm/package/@quick-start-soft/quick-remove-image-background" TargetMode="External"/><Relationship Id="rId387" Type="http://schemas.openxmlformats.org/officeDocument/2006/relationships/hyperlink" Target="https://socket.dev/npm/package/@trigo/atrix-swagger/overview/3.0.1" TargetMode="External"/><Relationship Id="rId510" Type="http://schemas.openxmlformats.org/officeDocument/2006/relationships/hyperlink" Target="https://socket.dev/npm/package/lui-vue-test" TargetMode="External"/><Relationship Id="rId552" Type="http://schemas.openxmlformats.org/officeDocument/2006/relationships/hyperlink" Target="https://socket.dev/npm/package/prompt-eng-server/overview/1.0.18" TargetMode="External"/><Relationship Id="rId594" Type="http://schemas.openxmlformats.org/officeDocument/2006/relationships/hyperlink" Target="https://socket.dev/npm/package/soneium-acs/overview/1.0.1" TargetMode="External"/><Relationship Id="rId608" Type="http://schemas.openxmlformats.org/officeDocument/2006/relationships/hyperlink" Target="https://socket.dev/npm/package/tiaan/overview/1.0.2" TargetMode="External"/><Relationship Id="rId191" Type="http://schemas.openxmlformats.org/officeDocument/2006/relationships/hyperlink" Target="http://socket.dev/npm/package/@ifings/design-system/files/4.9.2" TargetMode="External"/><Relationship Id="rId205" Type="http://schemas.openxmlformats.org/officeDocument/2006/relationships/hyperlink" Target="https://socket.dev/npm/package/@lessondesk/electron-group-api-client/overview/1.0.3" TargetMode="External"/><Relationship Id="rId247" Type="http://schemas.openxmlformats.org/officeDocument/2006/relationships/hyperlink" Target="https://socket.dev/npm/package/@oku-ui/progress" TargetMode="External"/><Relationship Id="rId412" Type="http://schemas.openxmlformats.org/officeDocument/2006/relationships/hyperlink" Target="https://socket.dev/npm/package/automation_model/overview/1.0.491" TargetMode="External"/><Relationship Id="rId107" Type="http://schemas.openxmlformats.org/officeDocument/2006/relationships/hyperlink" Target="https://socket.dev/npm/package/@browserbasehq/mcp-server-browserbase" TargetMode="External"/><Relationship Id="rId289" Type="http://schemas.openxmlformats.org/officeDocument/2006/relationships/hyperlink" Target="https://socket.dev/npm/package/@posthog/first-time-event-tracker/overview/0.0.8" TargetMode="External"/><Relationship Id="rId454" Type="http://schemas.openxmlformats.org/officeDocument/2006/relationships/hyperlink" Target="https://socket.dev/npm/package/easypanel-sdk" TargetMode="External"/><Relationship Id="rId496" Type="http://schemas.openxmlformats.org/officeDocument/2006/relationships/hyperlink" Target="https://socket.dev/npm/package/ito-button/overview/8.0.3" TargetMode="External"/><Relationship Id="rId11" Type="http://schemas.openxmlformats.org/officeDocument/2006/relationships/hyperlink" Target="https://socket.dev/npm/package/@actbase/react-absolute/overview/0.8.3" TargetMode="External"/><Relationship Id="rId53" Type="http://schemas.openxmlformats.org/officeDocument/2006/relationships/hyperlink" Target="https://socket.dev/npm/package/@asyncapi/generator-helpers" TargetMode="External"/><Relationship Id="rId149" Type="http://schemas.openxmlformats.org/officeDocument/2006/relationships/hyperlink" Target="https://socket.dev/npm/package/@ensdomains/eth-ens-namehash/overview/2.0.16" TargetMode="External"/><Relationship Id="rId314" Type="http://schemas.openxmlformats.org/officeDocument/2006/relationships/hyperlink" Target="https://socket.dev/npm/package/@posthog/rrweb/overview/0.0.31" TargetMode="External"/><Relationship Id="rId356" Type="http://schemas.openxmlformats.org/officeDocument/2006/relationships/hyperlink" Target="https://socket.dev/npm/package/@silgi/drizzle/overview/0.8.4" TargetMode="External"/><Relationship Id="rId398" Type="http://schemas.openxmlformats.org/officeDocument/2006/relationships/hyperlink" Target="https://socket.dev/npm/package/@trpc-rate-limiter/hono" TargetMode="External"/><Relationship Id="rId521" Type="http://schemas.openxmlformats.org/officeDocument/2006/relationships/hyperlink" Target="https://socket.dev/npm/package/my-saeed-lib" TargetMode="External"/><Relationship Id="rId563" Type="http://schemas.openxmlformats.org/officeDocument/2006/relationships/hyperlink" Target="https://socket.dev/npm/package/react-component-taggers/overview/0.1.9" TargetMode="External"/><Relationship Id="rId619" Type="http://schemas.openxmlformats.org/officeDocument/2006/relationships/hyperlink" Target="http://v/" TargetMode="External"/><Relationship Id="rId95" Type="http://schemas.openxmlformats.org/officeDocument/2006/relationships/hyperlink" Target="https://socket.dev/npm/package/@asyncapi/react-component/overview/2.6.7" TargetMode="External"/><Relationship Id="rId160" Type="http://schemas.openxmlformats.org/officeDocument/2006/relationships/hyperlink" Target="https://socket.dev/npm/package/@ensdomains/reverse-records/overview/1.0.1" TargetMode="External"/><Relationship Id="rId216" Type="http://schemas.openxmlformats.org/officeDocument/2006/relationships/hyperlink" Target="https://socket.dev/npm/package/@lui-ui/lui-tailwindcss" TargetMode="External"/><Relationship Id="rId423" Type="http://schemas.openxmlformats.org/officeDocument/2006/relationships/hyperlink" Target="https://socket.dev/npm/package/buffered-interpolation-babylon6" TargetMode="External"/><Relationship Id="rId258" Type="http://schemas.openxmlformats.org/officeDocument/2006/relationships/hyperlink" Target="https://socket.dev/npm/package/@oku-ui/toggle" TargetMode="External"/><Relationship Id="rId465" Type="http://schemas.openxmlformats.org/officeDocument/2006/relationships/hyperlink" Target="https://socket.dev/npm/package/ethereum-ens/overview/0.8.1" TargetMode="External"/><Relationship Id="rId630" Type="http://schemas.openxmlformats.org/officeDocument/2006/relationships/hyperlink" Target="https://socket.dev/npm/package/web-types-htmx/overview/0.1.1" TargetMode="External"/><Relationship Id="rId22" Type="http://schemas.openxmlformats.org/officeDocument/2006/relationships/hyperlink" Target="https://socket.dev/npm/package/@actbase/react-native-tiktok/overview/1.1.3" TargetMode="External"/><Relationship Id="rId64" Type="http://schemas.openxmlformats.org/officeDocument/2006/relationships/hyperlink" Target="https://socket.dev/npm/package/@asyncapi/java-spring-template/overview/1.6.2" TargetMode="External"/><Relationship Id="rId118" Type="http://schemas.openxmlformats.org/officeDocument/2006/relationships/hyperlink" Target="https://socket.dev/npm/package/@cllbk/ghl" TargetMode="External"/><Relationship Id="rId325" Type="http://schemas.openxmlformats.org/officeDocument/2006/relationships/hyperlink" Target="https://socket.dev/npm/package/@posthog/twitter-followers-plugin/overview/0.0.8" TargetMode="External"/><Relationship Id="rId367" Type="http://schemas.openxmlformats.org/officeDocument/2006/relationships/hyperlink" Target="https://socket.dev/npm/package/@strapbuild/react-native-perspective-image-cropper" TargetMode="External"/><Relationship Id="rId532" Type="http://schemas.openxmlformats.org/officeDocument/2006/relationships/hyperlink" Target="https://socket.dev/npm/package/okta-react-router-6/overview/5.0.1" TargetMode="External"/><Relationship Id="rId574" Type="http://schemas.openxmlformats.org/officeDocument/2006/relationships/hyperlink" Target="https://socket.dev/npm/package/react-packery-component" TargetMode="External"/><Relationship Id="rId171" Type="http://schemas.openxmlformats.org/officeDocument/2006/relationships/hyperlink" Target="https://socket.dev/npm/package/@everreal/react-charts/overview/2.0.2" TargetMode="External"/><Relationship Id="rId227" Type="http://schemas.openxmlformats.org/officeDocument/2006/relationships/hyperlink" Target="https://socket.dev/npm/package/@oku-ui/checkbox" TargetMode="External"/><Relationship Id="rId269" Type="http://schemas.openxmlformats.org/officeDocument/2006/relationships/hyperlink" Target="https://socket.dev/npm/package/@osmanekrem/bmad/overview/1.0.6" TargetMode="External"/><Relationship Id="rId434" Type="http://schemas.openxmlformats.org/officeDocument/2006/relationships/hyperlink" Target="https://socket.dev/npm/package/colors-regex/overview/2.0.1" TargetMode="External"/><Relationship Id="rId476" Type="http://schemas.openxmlformats.org/officeDocument/2006/relationships/hyperlink" Target="https://socket.dev/npm/package/generator-meteor-stock/overview/0.1.6" TargetMode="External"/><Relationship Id="rId33" Type="http://schemas.openxmlformats.org/officeDocument/2006/relationships/hyperlink" Target="https://socket.dev/npm/package/@antstackio/json-to-graphql/overview/1.0.3" TargetMode="External"/><Relationship Id="rId129" Type="http://schemas.openxmlformats.org/officeDocument/2006/relationships/hyperlink" Target="https://socket.dev/npm/package/@ensdomains/buffer/overview/0.1.2" TargetMode="External"/><Relationship Id="rId280" Type="http://schemas.openxmlformats.org/officeDocument/2006/relationships/hyperlink" Target="https://socket.dev/npm/package/@posthog/cli/overview/0.5.15" TargetMode="External"/><Relationship Id="rId336" Type="http://schemas.openxmlformats.org/officeDocument/2006/relationships/hyperlink" Target="https://socket.dev/npm/package/@productdevbook/ts-i18n/files/1.4.2" TargetMode="External"/><Relationship Id="rId501" Type="http://schemas.openxmlformats.org/officeDocument/2006/relationships/hyperlink" Target="https://socket.dev/npm/package/jan-browser/overview/0.13.1" TargetMode="External"/><Relationship Id="rId543" Type="http://schemas.openxmlformats.org/officeDocument/2006/relationships/hyperlink" Target="https://socket.dev/npm/package/piclite/overview/1.0.1" TargetMode="External"/><Relationship Id="rId75" Type="http://schemas.openxmlformats.org/officeDocument/2006/relationships/hyperlink" Target="https://socket.dev/npm/package/@asyncapi/nodejs-template" TargetMode="External"/><Relationship Id="rId140" Type="http://schemas.openxmlformats.org/officeDocument/2006/relationships/hyperlink" Target="https://socket.dev/npm/package/@ensdomains/durin/overview/0.1.2" TargetMode="External"/><Relationship Id="rId182" Type="http://schemas.openxmlformats.org/officeDocument/2006/relationships/hyperlink" Target="https://socket.dev/npm/package/@huntersofbook/auth-vue" TargetMode="External"/><Relationship Id="rId378" Type="http://schemas.openxmlformats.org/officeDocument/2006/relationships/hyperlink" Target="https://socket.dev/npm/package/@trigo/atrix/overview/7.0.1" TargetMode="External"/><Relationship Id="rId403" Type="http://schemas.openxmlformats.org/officeDocument/2006/relationships/hyperlink" Target="https://socket.dev/npm/package/@vucod/email" TargetMode="External"/><Relationship Id="rId585" Type="http://schemas.openxmlformats.org/officeDocument/2006/relationships/hyperlink" Target="https://socket.dev/npm/package/selenium-session/overview/1.0.5" TargetMode="External"/><Relationship Id="rId6" Type="http://schemas.openxmlformats.org/officeDocument/2006/relationships/hyperlink" Target="https://socket.dev/npm/package/@accordproject/markdown-it-cicero/overview/0.16.26" TargetMode="External"/><Relationship Id="rId238" Type="http://schemas.openxmlformats.org/officeDocument/2006/relationships/hyperlink" Target="https://socket.dev/npm/package/@oku-ui/motion" TargetMode="External"/><Relationship Id="rId445" Type="http://schemas.openxmlformats.org/officeDocument/2006/relationships/hyperlink" Target="https://socket.dev/npm/package/dashboard-empty-state/overview/1.0.3" TargetMode="External"/><Relationship Id="rId487" Type="http://schemas.openxmlformats.org/officeDocument/2006/relationships/hyperlink" Target="https://socket.dev/npm/package/hyper-fullfacing/overview/1.0.3" TargetMode="External"/><Relationship Id="rId610" Type="http://schemas.openxmlformats.org/officeDocument/2006/relationships/hyperlink" Target="https://socket.dev/npm/package/token.js-fork/overview/0.7.32" TargetMode="External"/><Relationship Id="rId291" Type="http://schemas.openxmlformats.org/officeDocument/2006/relationships/hyperlink" Target="https://socket.dev/npm/package/@posthog/github-release-tracking-plugin/overview/0.0.8" TargetMode="External"/><Relationship Id="rId305" Type="http://schemas.openxmlformats.org/officeDocument/2006/relationships/hyperlink" Target="https://socket.dev/npm/package/@posthog/nextjs-config/overview/1.5.1" TargetMode="External"/><Relationship Id="rId347" Type="http://schemas.openxmlformats.org/officeDocument/2006/relationships/hyperlink" Target="https://socket.dev/npm/package/@relyt/claude-context-core/overview/0.1.1" TargetMode="External"/><Relationship Id="rId512" Type="http://schemas.openxmlformats.org/officeDocument/2006/relationships/hyperlink" Target="https://socket.dev/npm/package/m25-transaction-utils" TargetMode="External"/><Relationship Id="rId44" Type="http://schemas.openxmlformats.org/officeDocument/2006/relationships/hyperlink" Target="https://socket.dev/npm/package/@asyncapi/diff/overview/0.5.2" TargetMode="External"/><Relationship Id="rId86" Type="http://schemas.openxmlformats.org/officeDocument/2006/relationships/hyperlink" Target="https://socket.dev/npm/package/@asyncapi/parser/overview/3.4.2" TargetMode="External"/><Relationship Id="rId151" Type="http://schemas.openxmlformats.org/officeDocument/2006/relationships/hyperlink" Target="https://socket.dev/npm/package/@ensdomains/hardhat-chai-matchers-viem/overview/0.1.15" TargetMode="External"/><Relationship Id="rId389" Type="http://schemas.openxmlformats.org/officeDocument/2006/relationships/hyperlink" Target="https://socket.dev/npm/package/@trigo/eslint-config-trigo/overview/3.3.1" TargetMode="External"/><Relationship Id="rId554" Type="http://schemas.openxmlformats.org/officeDocument/2006/relationships/hyperlink" Target="https://socket.dev/npm/package/quickswap-default-staking-list" TargetMode="External"/><Relationship Id="rId596" Type="http://schemas.openxmlformats.org/officeDocument/2006/relationships/hyperlink" Target="https://socket.dev/npm/package/south-african-id-info/overview/1.0.2" TargetMode="External"/><Relationship Id="rId193" Type="http://schemas.openxmlformats.org/officeDocument/2006/relationships/hyperlink" Target="https://socket.dev/npm/package/@jayeshsadhwani/telemetry-sdk" TargetMode="External"/><Relationship Id="rId207" Type="http://schemas.openxmlformats.org/officeDocument/2006/relationships/hyperlink" Target="https://socket.dev/npm/package/@lessondesk/material-icons/overview/1.0.3" TargetMode="External"/><Relationship Id="rId249" Type="http://schemas.openxmlformats.org/officeDocument/2006/relationships/hyperlink" Target="https://socket.dev/npm/package/@oku-ui/radio-group" TargetMode="External"/><Relationship Id="rId414" Type="http://schemas.openxmlformats.org/officeDocument/2006/relationships/hyperlink" Target="https://socket.dev/npm/package/axios-builder" TargetMode="External"/><Relationship Id="rId456" Type="http://schemas.openxmlformats.org/officeDocument/2006/relationships/hyperlink" Target="https://socket.dev/npm/package/email-deliverability-tester/overview/1.1.1" TargetMode="External"/><Relationship Id="rId498" Type="http://schemas.openxmlformats.org/officeDocument/2006/relationships/hyperlink" Target="https://socket.dev/npm/package/itobuz-angular-auth/overview/8.0.11" TargetMode="External"/><Relationship Id="rId621" Type="http://schemas.openxmlformats.org/officeDocument/2006/relationships/hyperlink" Target="https://socket.dev/npm/package/unsearch" TargetMode="External"/><Relationship Id="rId13" Type="http://schemas.openxmlformats.org/officeDocument/2006/relationships/hyperlink" Target="https://socket.dev/npm/package/@actbase/react-kakaosdk/overview/0.9.27" TargetMode="External"/><Relationship Id="rId109" Type="http://schemas.openxmlformats.org/officeDocument/2006/relationships/hyperlink" Target="https://socket.dev/npm/package/@browserbasehq/stagehand" TargetMode="External"/><Relationship Id="rId260" Type="http://schemas.openxmlformats.org/officeDocument/2006/relationships/hyperlink" Target="https://socket.dev/npm/package/@oku-ui/toolbar" TargetMode="External"/><Relationship Id="rId316" Type="http://schemas.openxmlformats.org/officeDocument/2006/relationships/hyperlink" Target="https://socket.dev/npm/package/@posthog/rrweb-record/overview/0.0.31" TargetMode="External"/><Relationship Id="rId523" Type="http://schemas.openxmlformats.org/officeDocument/2006/relationships/hyperlink" Target="https://socket.dev/npm/package/n8n-nodes-vercel-ai-sdk/overview/0.1.7" TargetMode="External"/><Relationship Id="rId55" Type="http://schemas.openxmlformats.org/officeDocument/2006/relationships/hyperlink" Target="https://socket.dev/npm/package/@asyncapi/generator-react-sdk" TargetMode="External"/><Relationship Id="rId97" Type="http://schemas.openxmlformats.org/officeDocument/2006/relationships/hyperlink" Target="https://socket.dev/npm/package/@asyncapi/server-api/overview/0.16.25" TargetMode="External"/><Relationship Id="rId120" Type="http://schemas.openxmlformats.org/officeDocument/2006/relationships/hyperlink" Target="https://socket.dev/npm/package/@commute/market-data/overview/1.0.2" TargetMode="External"/><Relationship Id="rId358" Type="http://schemas.openxmlformats.org/officeDocument/2006/relationships/hyperlink" Target="https://socket.dev/npm/package/@silgi/graphql" TargetMode="External"/><Relationship Id="rId565" Type="http://schemas.openxmlformats.org/officeDocument/2006/relationships/hyperlink" Target="https://socket.dev/npm/package/react-element-prompt-inspector/overview/0.1.18" TargetMode="External"/><Relationship Id="rId162" Type="http://schemas.openxmlformats.org/officeDocument/2006/relationships/hyperlink" Target="https://socket.dev/npm/package/@ensdomains/solsha1/overview/0.0.4" TargetMode="External"/><Relationship Id="rId218" Type="http://schemas.openxmlformats.org/officeDocument/2006/relationships/hyperlink" Target="https://socket.dev/npm/package/@micado-digital/stadtmarketing-kufstein-external" TargetMode="External"/><Relationship Id="rId425" Type="http://schemas.openxmlformats.org/officeDocument/2006/relationships/hyperlink" Target="https://socket.dev/npm/package/bytes-to-x/overview/1.0.1" TargetMode="External"/><Relationship Id="rId467" Type="http://schemas.openxmlformats.org/officeDocument/2006/relationships/hyperlink" Target="https://socket.dev/npm/package/expo-audio-session/overview/0.2.1" TargetMode="External"/><Relationship Id="rId632" Type="http://schemas.openxmlformats.org/officeDocument/2006/relationships/hyperlink" Target="https://socket.dev/npm/package/webpack-loader-httpfile/overview/0.2.1" TargetMode="External"/><Relationship Id="rId271" Type="http://schemas.openxmlformats.org/officeDocument/2006/relationships/hyperlink" Target="https://socket.dev/npm/package/@pergel/cli" TargetMode="External"/><Relationship Id="rId24" Type="http://schemas.openxmlformats.org/officeDocument/2006/relationships/hyperlink" Target="https://socket.dev/npm/package/@afetcan/storage/files/0.0.27" TargetMode="External"/><Relationship Id="rId66" Type="http://schemas.openxmlformats.org/officeDocument/2006/relationships/hyperlink" Target="https://socket.dev/npm/package/@asyncapi/java-template/overview/0.3.6" TargetMode="External"/><Relationship Id="rId131" Type="http://schemas.openxmlformats.org/officeDocument/2006/relationships/hyperlink" Target="https://socket.dev/npm/package/@ensdomains/ccip-read-dns-gateway/overview/0.1.1" TargetMode="External"/><Relationship Id="rId327" Type="http://schemas.openxmlformats.org/officeDocument/2006/relationships/hyperlink" Target="https://socket.dev/npm/package/@posthog/variance-plugin/overview/0.0.8" TargetMode="External"/><Relationship Id="rId369" Type="http://schemas.openxmlformats.org/officeDocument/2006/relationships/hyperlink" Target="https://socket.dev/npm/package/@strapbuild/react-native-perspective-image-cropper-poojan31" TargetMode="External"/><Relationship Id="rId534" Type="http://schemas.openxmlformats.org/officeDocument/2006/relationships/hyperlink" Target="https://socket.dev/npm/package/orbit-boxicons/overview/2.1.3" TargetMode="External"/><Relationship Id="rId576" Type="http://schemas.openxmlformats.org/officeDocument/2006/relationships/hyperlink" Target="https://socket.dev/npm/package/rediff/overview/1.0.5" TargetMode="External"/><Relationship Id="rId173" Type="http://schemas.openxmlformats.org/officeDocument/2006/relationships/hyperlink" Target="https://socket.dev/npm/package/@faq-component/react/overview/1.0.1" TargetMode="External"/><Relationship Id="rId229" Type="http://schemas.openxmlformats.org/officeDocument/2006/relationships/hyperlink" Target="https://socket.dev/npm/package/@oku-ui/collection" TargetMode="External"/><Relationship Id="rId380" Type="http://schemas.openxmlformats.org/officeDocument/2006/relationships/hyperlink" Target="https://socket.dev/npm/package/@trigo/atrix-elasticsearch/overview/2.0.1" TargetMode="External"/><Relationship Id="rId436" Type="http://schemas.openxmlformats.org/officeDocument/2006/relationships/hyperlink" Target="https://socket.dev/npm/package/cpu-instructions/overview/0.0.14" TargetMode="External"/><Relationship Id="rId601" Type="http://schemas.openxmlformats.org/officeDocument/2006/relationships/hyperlink" Target="https://socket.dev/npm/package/svelte-autocomplete-select/overview/1.1.1" TargetMode="External"/><Relationship Id="rId240" Type="http://schemas.openxmlformats.org/officeDocument/2006/relationships/hyperlink" Target="https://socket.dev/npm/package/@oku-ui/popover" TargetMode="External"/><Relationship Id="rId478" Type="http://schemas.openxmlformats.org/officeDocument/2006/relationships/hyperlink" Target="https://socket.dev/npm/package/get-them-args/overview/1.3.3" TargetMode="External"/><Relationship Id="rId35" Type="http://schemas.openxmlformats.org/officeDocument/2006/relationships/hyperlink" Target="https://socket.dev/npm/package/@aryanhussain/my-angular-lib/overview/0.0.23" TargetMode="External"/><Relationship Id="rId77" Type="http://schemas.openxmlformats.org/officeDocument/2006/relationships/hyperlink" Target="https://socket.dev/npm/package/@asyncapi/nodejs-ws-template" TargetMode="External"/><Relationship Id="rId100" Type="http://schemas.openxmlformats.org/officeDocument/2006/relationships/hyperlink" Target="https://socket.dev/npm/package/@asyncapi/studio/overview/1.0.3" TargetMode="External"/><Relationship Id="rId282" Type="http://schemas.openxmlformats.org/officeDocument/2006/relationships/hyperlink" Target="https://socket.dev/npm/package/@posthog/core/overview/1.5.6" TargetMode="External"/><Relationship Id="rId338" Type="http://schemas.openxmlformats.org/officeDocument/2006/relationships/hyperlink" Target="https://socket.dev/npm/package/@quick-start-soft/quick-document-translator" TargetMode="External"/><Relationship Id="rId503" Type="http://schemas.openxmlformats.org/officeDocument/2006/relationships/hyperlink" Target="https://socket.dev/npm/package/just-toasty/overview/1.7.1" TargetMode="External"/><Relationship Id="rId545" Type="http://schemas.openxmlformats.org/officeDocument/2006/relationships/hyperlink" Target="https://socket.dev/npm/package/poper-react-sdk/overview/0.1.2" TargetMode="External"/><Relationship Id="rId587" Type="http://schemas.openxmlformats.org/officeDocument/2006/relationships/hyperlink" Target="https://socket.dev/npm/package/shelf-jwt-sessions/overview/0.1.2" TargetMode="External"/><Relationship Id="rId8" Type="http://schemas.openxmlformats.org/officeDocument/2006/relationships/hyperlink" Target="https://socket.dev/npm/package/@actbase/css-to-react-native-transform/overview/1.0.3" TargetMode="External"/><Relationship Id="rId142" Type="http://schemas.openxmlformats.org/officeDocument/2006/relationships/hyperlink" Target="https://socket.dev/npm/package/@ensdomains/ens-archived-contracts/overview/0.0.3" TargetMode="External"/><Relationship Id="rId184" Type="http://schemas.openxmlformats.org/officeDocument/2006/relationships/hyperlink" Target="https://socket.dev/npm/package/@huntersofbook/core-nuxt" TargetMode="External"/><Relationship Id="rId391" Type="http://schemas.openxmlformats.org/officeDocument/2006/relationships/hyperlink" Target="https://socket.dev/npm/package/@trigo/hapi-auth-signedlink/overview/1.3.1" TargetMode="External"/><Relationship Id="rId405" Type="http://schemas.openxmlformats.org/officeDocument/2006/relationships/hyperlink" Target="https://socket.dev/npm/package/ai-crowl-shield/overview/1.0.7" TargetMode="External"/><Relationship Id="rId447" Type="http://schemas.openxmlformats.org/officeDocument/2006/relationships/hyperlink" Target="https://socket.dev/npm/package/devstart-cli/overview/1.0.6" TargetMode="External"/><Relationship Id="rId612" Type="http://schemas.openxmlformats.org/officeDocument/2006/relationships/hyperlink" Target="https://socket.dev/npm/package/trigo-react-app/overview/4.1.2" TargetMode="External"/><Relationship Id="rId251" Type="http://schemas.openxmlformats.org/officeDocument/2006/relationships/hyperlink" Target="https://socket.dev/npm/package/@oku-ui/scroll-area" TargetMode="External"/><Relationship Id="rId489" Type="http://schemas.openxmlformats.org/officeDocument/2006/relationships/hyperlink" Target="https://socket.dev/npm/package/ids-css" TargetMode="External"/><Relationship Id="rId46" Type="http://schemas.openxmlformats.org/officeDocument/2006/relationships/hyperlink" Target="https://socket.dev/npm/package/@asyncapi/dotnet-rabbitmq-template/overview/1.0.2" TargetMode="External"/><Relationship Id="rId293" Type="http://schemas.openxmlformats.org/officeDocument/2006/relationships/hyperlink" Target="https://socket.dev/npm/package/@posthog/heartbeat-plugin/overview/0.0.8" TargetMode="External"/><Relationship Id="rId307" Type="http://schemas.openxmlformats.org/officeDocument/2006/relationships/hyperlink" Target="https://socket.dev/npm/package/@posthog/pagerduty-plugin/overview/0.0.8" TargetMode="External"/><Relationship Id="rId349" Type="http://schemas.openxmlformats.org/officeDocument/2006/relationships/hyperlink" Target="https://socket.dev/npm/package/@relyt/mcp-server-relytone/overview/0.0.3" TargetMode="External"/><Relationship Id="rId514" Type="http://schemas.openxmlformats.org/officeDocument/2006/relationships/hyperlink" Target="https://socket.dev/npm/package/medusa-plugin-announcement/overview/0.0.3" TargetMode="External"/><Relationship Id="rId556" Type="http://schemas.openxmlformats.org/officeDocument/2006/relationships/hyperlink" Target="https://socket.dev/npm/package/quickswap-default-token-list" TargetMode="External"/><Relationship Id="rId88" Type="http://schemas.openxmlformats.org/officeDocument/2006/relationships/hyperlink" Target="https://socket.dev/npm/package/@asyncapi/php-template/overview/0.1.2" TargetMode="External"/><Relationship Id="rId111" Type="http://schemas.openxmlformats.org/officeDocument/2006/relationships/hyperlink" Target="https://socket.dev/npm/package/@caretive/caret-cli/overview/0.0.2" TargetMode="External"/><Relationship Id="rId153" Type="http://schemas.openxmlformats.org/officeDocument/2006/relationships/hyperlink" Target="https://socket.dev/npm/package/@ensdomains/mock/overview/2.1.52" TargetMode="External"/><Relationship Id="rId195" Type="http://schemas.openxmlformats.org/officeDocument/2006/relationships/hyperlink" Target="https://socket.dev/npm/package/@kvytech/components/overview/0.0.2" TargetMode="External"/><Relationship Id="rId209" Type="http://schemas.openxmlformats.org/officeDocument/2006/relationships/hyperlink" Target="https://socket.dev/npm/package/@livecms/live-edit" TargetMode="External"/><Relationship Id="rId360" Type="http://schemas.openxmlformats.org/officeDocument/2006/relationships/hyperlink" Target="https://socket.dev/npm/package/@silgi/openapi/overview/0.7.4" TargetMode="External"/><Relationship Id="rId416" Type="http://schemas.openxmlformats.org/officeDocument/2006/relationships/hyperlink" Target="https://socket.dev/npm/package/benmostyn-frame-print/overview/1.0.1" TargetMode="External"/><Relationship Id="rId598" Type="http://schemas.openxmlformats.org/officeDocument/2006/relationships/hyperlink" Target="https://socket.dev/npm/package/stoor/overview/2.3.2" TargetMode="External"/><Relationship Id="rId220" Type="http://schemas.openxmlformats.org/officeDocument/2006/relationships/hyperlink" Target="https://socket.dev/npm/package/@ntnx/passport-wso2/overview/0.0.3" TargetMode="External"/><Relationship Id="rId458" Type="http://schemas.openxmlformats.org/officeDocument/2006/relationships/hyperlink" Target="https://socket.dev/npm/package/esbuild-plugin-brotli/overview/0.2.1" TargetMode="External"/><Relationship Id="rId623" Type="http://schemas.openxmlformats.org/officeDocument/2006/relationships/hyperlink" Target="https://socket.dev/npm/package/use-unsaved-changes/overview/1.0.9" TargetMode="External"/><Relationship Id="rId15" Type="http://schemas.openxmlformats.org/officeDocument/2006/relationships/hyperlink" Target="https://socket.dev/npm/package/@actbase/react-native-devtools/overview/0.1.3" TargetMode="External"/><Relationship Id="rId57" Type="http://schemas.openxmlformats.org/officeDocument/2006/relationships/hyperlink" Target="https://socket.dev/npm/package/@asyncapi/go-watermill-template" TargetMode="External"/><Relationship Id="rId262" Type="http://schemas.openxmlformats.org/officeDocument/2006/relationships/hyperlink" Target="https://socket.dev/npm/package/@oku-ui/use-composable" TargetMode="External"/><Relationship Id="rId318" Type="http://schemas.openxmlformats.org/officeDocument/2006/relationships/hyperlink" Target="https://socket.dev/npm/package/@posthog/rrweb-snapshot/overview/0.0.31" TargetMode="External"/><Relationship Id="rId525" Type="http://schemas.openxmlformats.org/officeDocument/2006/relationships/hyperlink" Target="https://socket.dev/npm/package/ngx-useful-swiper-prosenjit/overview/9.0.2" TargetMode="External"/><Relationship Id="rId567" Type="http://schemas.openxmlformats.org/officeDocument/2006/relationships/hyperlink" Target="https://socket.dev/npm/package/react-library-setup/overview/0.0.6" TargetMode="External"/><Relationship Id="rId99" Type="http://schemas.openxmlformats.org/officeDocument/2006/relationships/hyperlink" Target="https://socket.dev/npm/package/@asyncapi/studio" TargetMode="External"/><Relationship Id="rId122" Type="http://schemas.openxmlformats.org/officeDocument/2006/relationships/hyperlink" Target="https://socket.dev/npm/package/@dev-blinq/ai-qa-logic/overview/1.0.19" TargetMode="External"/><Relationship Id="rId164" Type="http://schemas.openxmlformats.org/officeDocument/2006/relationships/hyperlink" Target="https://socket.dev/npm/package/@ensdomains/test-utils/overview/1.3.1" TargetMode="External"/><Relationship Id="rId371" Type="http://schemas.openxmlformats.org/officeDocument/2006/relationships/hyperlink" Target="https://socket.dev/npm/package/@thedelta/eslint-config/overview/1.0.2" TargetMode="External"/><Relationship Id="rId427" Type="http://schemas.openxmlformats.org/officeDocument/2006/relationships/hyperlink" Target="https://socket.dev/npm/package/capacitor-plugin-apptrackingios/overview/0.0.21" TargetMode="External"/><Relationship Id="rId469" Type="http://schemas.openxmlformats.org/officeDocument/2006/relationships/hyperlink" Target="https://socket.dev/npm/package/express-starter-template" TargetMode="External"/><Relationship Id="rId634" Type="http://schemas.openxmlformats.org/officeDocument/2006/relationships/hyperlink" Target="https://socket.dev/npm/package/zuper-cli/overview/1.0.1" TargetMode="External"/><Relationship Id="rId26" Type="http://schemas.openxmlformats.org/officeDocument/2006/relationships/hyperlink" Target="https://socket.dev/npm/package/@alexadark/amadeus-api/overview/1.0.4" TargetMode="External"/><Relationship Id="rId231" Type="http://schemas.openxmlformats.org/officeDocument/2006/relationships/hyperlink" Target="https://socket.dev/npm/package/@oku-ui/direction" TargetMode="External"/><Relationship Id="rId273" Type="http://schemas.openxmlformats.org/officeDocument/2006/relationships/hyperlink" Target="https://socket.dev/npm/package/@pergel/module-graphql/overview/0.6.1" TargetMode="External"/><Relationship Id="rId329" Type="http://schemas.openxmlformats.org/officeDocument/2006/relationships/hyperlink" Target="https://socket.dev/npm/package/@posthog/wizard/overview/1.18.1" TargetMode="External"/><Relationship Id="rId480" Type="http://schemas.openxmlformats.org/officeDocument/2006/relationships/hyperlink" Target="https://socket.dev/npm/package/github-action-for-generator/overview/2.1.28" TargetMode="External"/><Relationship Id="rId536" Type="http://schemas.openxmlformats.org/officeDocument/2006/relationships/hyperlink" Target="https://socket.dev/npm/package/orbit-nebula-editor/overview/1.0.2" TargetMode="External"/><Relationship Id="rId68" Type="http://schemas.openxmlformats.org/officeDocument/2006/relationships/hyperlink" Target="https://socket.dev/npm/package/@asyncapi/keeper/overview/0.0.3" TargetMode="External"/><Relationship Id="rId133" Type="http://schemas.openxmlformats.org/officeDocument/2006/relationships/hyperlink" Target="https://socket.dev/npm/package/@ensdomains/ccip-read-worker-viem/overview/0.0.4" TargetMode="External"/><Relationship Id="rId175" Type="http://schemas.openxmlformats.org/officeDocument/2006/relationships/hyperlink" Target="https://socket.dev/npm/package/@fishingbooker/react-loader/overview/1.0.7" TargetMode="External"/><Relationship Id="rId340" Type="http://schemas.openxmlformats.org/officeDocument/2006/relationships/hyperlink" Target="https://socket.dev/npm/package/@quick-start-soft/quick-markdown/files/1.4.2511142126/bun_environment.js" TargetMode="External"/><Relationship Id="rId578" Type="http://schemas.openxmlformats.org/officeDocument/2006/relationships/hyperlink" Target="https://socket.dev/npm/package/redux-forge/overview/2.5.3" TargetMode="External"/><Relationship Id="rId200" Type="http://schemas.openxmlformats.org/officeDocument/2006/relationships/hyperlink" Target="https://socket.dev/npm/package/@kvytech/medusa-plugin-product-reviews/overview/0.0.9" TargetMode="External"/><Relationship Id="rId382" Type="http://schemas.openxmlformats.org/officeDocument/2006/relationships/hyperlink" Target="https://socket.dev/npm/package/@trigo/atrix-orientdb/overview/1.0.2" TargetMode="External"/><Relationship Id="rId438" Type="http://schemas.openxmlformats.org/officeDocument/2006/relationships/hyperlink" Target="https://socket.dev/npm/package/create-glee-app" TargetMode="External"/><Relationship Id="rId603" Type="http://schemas.openxmlformats.org/officeDocument/2006/relationships/hyperlink" Target="https://socket.dev/npm/package/tavily-module" TargetMode="External"/><Relationship Id="rId242" Type="http://schemas.openxmlformats.org/officeDocument/2006/relationships/hyperlink" Target="https://socket.dev/npm/package/@oku-ui/portal" TargetMode="External"/><Relationship Id="rId284" Type="http://schemas.openxmlformats.org/officeDocument/2006/relationships/hyperlink" Target="https://socket.dev/npm/package/@posthog/customerio-plugin/overview/0.0.8" TargetMode="External"/><Relationship Id="rId491" Type="http://schemas.openxmlformats.org/officeDocument/2006/relationships/hyperlink" Target="https://socket.dev/npm/package/ids-enterprise-ng" TargetMode="External"/><Relationship Id="rId505" Type="http://schemas.openxmlformats.org/officeDocument/2006/relationships/hyperlink" Target="https://socket.dev/npm/package/kinvey-cli-wrapper" TargetMode="External"/><Relationship Id="rId37" Type="http://schemas.openxmlformats.org/officeDocument/2006/relationships/hyperlink" Target="https://socket.dev/npm/package/@asyncapi/avro-schema-parser/overview/3.0.26" TargetMode="External"/><Relationship Id="rId79" Type="http://schemas.openxmlformats.org/officeDocument/2006/relationships/hyperlink" Target="https://socket.dev/npm/package/@asyncapi/nunjucks-filters" TargetMode="External"/><Relationship Id="rId102" Type="http://schemas.openxmlformats.org/officeDocument/2006/relationships/hyperlink" Target="https://socket.dev/npm/package/@asyncapi/web-component/overview/2.6.7" TargetMode="External"/><Relationship Id="rId144" Type="http://schemas.openxmlformats.org/officeDocument/2006/relationships/hyperlink" Target="https://socket.dev/npm/package/@ensdomains/ens-contracts/overview/1.6.1" TargetMode="External"/><Relationship Id="rId547" Type="http://schemas.openxmlformats.org/officeDocument/2006/relationships/hyperlink" Target="https://socket.dev/npm/package/posthog-js/overview/1.297.3" TargetMode="External"/><Relationship Id="rId589" Type="http://schemas.openxmlformats.org/officeDocument/2006/relationships/hyperlink" Target="https://socket.dev/npm/package/silgi" TargetMode="External"/><Relationship Id="rId90" Type="http://schemas.openxmlformats.org/officeDocument/2006/relationships/hyperlink" Target="https://socket.dev/npm/package/@asyncapi/problem/overview/1.0.2" TargetMode="External"/><Relationship Id="rId186" Type="http://schemas.openxmlformats.org/officeDocument/2006/relationships/hyperlink" Target="https://socket.dev/npm/package/@huntersofbook/i18n" TargetMode="External"/><Relationship Id="rId351" Type="http://schemas.openxmlformats.org/officeDocument/2006/relationships/hyperlink" Target="https://socket.dev/npm/package/@seung-ju/next/overview/0.0.2" TargetMode="External"/><Relationship Id="rId393" Type="http://schemas.openxmlformats.org/officeDocument/2006/relationships/hyperlink" Target="https://socket.dev/npm/package/@trigo/keycloak-api/overview/1.3.1" TargetMode="External"/><Relationship Id="rId407" Type="http://schemas.openxmlformats.org/officeDocument/2006/relationships/hyperlink" Target="https://socket.dev/npm/package/asciitranslator" TargetMode="External"/><Relationship Id="rId449" Type="http://schemas.openxmlformats.org/officeDocument/2006/relationships/hyperlink" Target="https://socket.dev/npm/package/docusaurus-plugin-vanilla-extract/overview/1.0.3" TargetMode="External"/><Relationship Id="rId614" Type="http://schemas.openxmlformats.org/officeDocument/2006/relationships/hyperlink" Target="https://socket.dev/npm/package/typeface-antonio-complete" TargetMode="External"/><Relationship Id="rId211" Type="http://schemas.openxmlformats.org/officeDocument/2006/relationships/hyperlink" Target="https://socket.dev/npm/package/@lokeswari-satyanarayanan/rn-zustand-expo-template" TargetMode="External"/><Relationship Id="rId253" Type="http://schemas.openxmlformats.org/officeDocument/2006/relationships/hyperlink" Target="https://socket.dev/npm/package/@oku-ui/slider" TargetMode="External"/><Relationship Id="rId295" Type="http://schemas.openxmlformats.org/officeDocument/2006/relationships/hyperlink" Target="https://socket.dev/npm/package/@posthog/icons/overview/0.36.1" TargetMode="External"/><Relationship Id="rId309" Type="http://schemas.openxmlformats.org/officeDocument/2006/relationships/hyperlink" Target="https://socket.dev/npm/package/@posthog/plugin-contrib/overview/0.0.6" TargetMode="External"/><Relationship Id="rId460" Type="http://schemas.openxmlformats.org/officeDocument/2006/relationships/hyperlink" Target="https://socket.dev/npm/package/esbuild-plugin-httpfile/overview/0.4.1" TargetMode="External"/><Relationship Id="rId516" Type="http://schemas.openxmlformats.org/officeDocument/2006/relationships/hyperlink" Target="https://socket.dev/npm/package/medusa-plugin-momo/overview/0.0.68" TargetMode="External"/><Relationship Id="rId48" Type="http://schemas.openxmlformats.org/officeDocument/2006/relationships/hyperlink" Target="https://socket.dev/npm/package/@asyncapi/edavisualiser/overview/1.2.2" TargetMode="External"/><Relationship Id="rId113" Type="http://schemas.openxmlformats.org/officeDocument/2006/relationships/hyperlink" Target="https://socket.dev/npm/package/@clausehq/flows-step-httprequest/overview/0.1.14" TargetMode="External"/><Relationship Id="rId320" Type="http://schemas.openxmlformats.org/officeDocument/2006/relationships/hyperlink" Target="https://socket.dev/npm/package/@posthog/sendgrid-plugin/overview/0.0.8" TargetMode="External"/><Relationship Id="rId558" Type="http://schemas.openxmlformats.org/officeDocument/2006/relationships/hyperlink" Target="https://socket.dev/npm/package/quickswap-sdk" TargetMode="External"/><Relationship Id="rId155" Type="http://schemas.openxmlformats.org/officeDocument/2006/relationships/hyperlink" Target="https://socket.dev/npm/package/@ensdomains/offchain-resolver-contracts/overview/0.2.2" TargetMode="External"/><Relationship Id="rId197" Type="http://schemas.openxmlformats.org/officeDocument/2006/relationships/hyperlink" Target="https://socket.dev/npm/package/@kvytech/medusa-plugin-announcement/overview/0.0.8" TargetMode="External"/><Relationship Id="rId362" Type="http://schemas.openxmlformats.org/officeDocument/2006/relationships/hyperlink" Target="https://socket.dev/npm/package/@silgi/ratelimit" TargetMode="External"/><Relationship Id="rId418" Type="http://schemas.openxmlformats.org/officeDocument/2006/relationships/hyperlink" Target="https://socket.dev/npm/package/better-auth-nuxt" TargetMode="External"/><Relationship Id="rId625" Type="http://schemas.openxmlformats.org/officeDocument/2006/relationships/hyperlink" Target="https://socket.dev/npm/package/valid-south-african-id/overview/1.0.3" TargetMode="External"/><Relationship Id="rId222" Type="http://schemas.openxmlformats.org/officeDocument/2006/relationships/hyperlink" Target="https://socket.dev/npm/package/@oku-ui/accordion" TargetMode="External"/><Relationship Id="rId264" Type="http://schemas.openxmlformats.org/officeDocument/2006/relationships/hyperlink" Target="https://socket.dev/npm/package/@oku-ui/visually-hidden" TargetMode="External"/><Relationship Id="rId471" Type="http://schemas.openxmlformats.org/officeDocument/2006/relationships/hyperlink" Target="https://socket.dev/npm/package/firestore-search-engine/overview/1.2.3" TargetMode="External"/><Relationship Id="rId17" Type="http://schemas.openxmlformats.org/officeDocument/2006/relationships/hyperlink" Target="https://socket.dev/npm/package/@actbase/react-native-kakao-channel/overview/1.0.2" TargetMode="External"/><Relationship Id="rId59" Type="http://schemas.openxmlformats.org/officeDocument/2006/relationships/hyperlink" Target="https://socket.dev/npm/package/@asyncapi/html-template" TargetMode="External"/><Relationship Id="rId124" Type="http://schemas.openxmlformats.org/officeDocument/2006/relationships/hyperlink" Target="https://socket.dev/npm/package/@dev-blinq/cucumber_client/overview/1.0.738" TargetMode="External"/><Relationship Id="rId527" Type="http://schemas.openxmlformats.org/officeDocument/2006/relationships/hyperlink" Target="https://socket.dev/npm/package/nitro-graphql/overview/1.5.12" TargetMode="External"/><Relationship Id="rId569" Type="http://schemas.openxmlformats.org/officeDocument/2006/relationships/hyperlink" Target="https://socket.dev/npm/package/react-native-google-maps-directions/overview/2.1.2" TargetMode="External"/><Relationship Id="rId70" Type="http://schemas.openxmlformats.org/officeDocument/2006/relationships/hyperlink" Target="https://socket.dev/npm/package/@asyncapi/modelina/overview/5.10.3" TargetMode="External"/><Relationship Id="rId166" Type="http://schemas.openxmlformats.org/officeDocument/2006/relationships/hyperlink" Target="https://socket.dev/npm/package/@ensdomains/ui/overview/3.4.6" TargetMode="External"/><Relationship Id="rId331" Type="http://schemas.openxmlformats.org/officeDocument/2006/relationships/hyperlink" Target="https://socket.dev/npm/package/@pradhumngautam/common-app/overview/1.0.2" TargetMode="External"/><Relationship Id="rId373" Type="http://schemas.openxmlformats.org/officeDocument/2006/relationships/hyperlink" Target="https://socket.dev/npm/package/@trackstar/react-trackstar-link" TargetMode="External"/><Relationship Id="rId429" Type="http://schemas.openxmlformats.org/officeDocument/2006/relationships/hyperlink" Target="https://socket.dev/npm/package/capacitor-plugin-scgssigninwithgoogle/overview/0.0.5" TargetMode="External"/><Relationship Id="rId580" Type="http://schemas.openxmlformats.org/officeDocument/2006/relationships/hyperlink" Target="https://socket.dev/npm/package/rollup-plugin-httpfile/overview/0.2.1" TargetMode="External"/><Relationship Id="rId636" Type="http://schemas.openxmlformats.org/officeDocument/2006/relationships/hyperlink" Target="https://socket.dev/npm/package/zuper-stream/overview/2.0.9" TargetMode="External"/><Relationship Id="rId1" Type="http://schemas.openxmlformats.org/officeDocument/2006/relationships/hyperlink" Target="https://socket.dev/npm/package/@accordproject/concerto-analysis/overview/3.24.1" TargetMode="External"/><Relationship Id="rId233" Type="http://schemas.openxmlformats.org/officeDocument/2006/relationships/hyperlink" Target="https://socket.dev/npm/package/@oku-ui/focus-guards" TargetMode="External"/><Relationship Id="rId440" Type="http://schemas.openxmlformats.org/officeDocument/2006/relationships/hyperlink" Target="https://socket.dev/npm/package/create-kinvey-flex-service" TargetMode="External"/><Relationship Id="rId28" Type="http://schemas.openxmlformats.org/officeDocument/2006/relationships/hyperlink" Target="https://socket.dev/npm/package/@alexadark/gatsby-theme-wordpress-blog/overview/2.0.1" TargetMode="External"/><Relationship Id="rId275" Type="http://schemas.openxmlformats.org/officeDocument/2006/relationships/hyperlink" Target="https://socket.dev/npm/package/@pergel/nuxt" TargetMode="External"/><Relationship Id="rId300" Type="http://schemas.openxmlformats.org/officeDocument/2006/relationships/hyperlink" Target="http://v/" TargetMode="External"/><Relationship Id="rId482" Type="http://schemas.openxmlformats.org/officeDocument/2006/relationships/hyperlink" Target="https://socket.dev/npm/package/go-template" TargetMode="External"/><Relationship Id="rId538" Type="http://schemas.openxmlformats.org/officeDocument/2006/relationships/hyperlink" Target="https://socket.dev/npm/package/orchestrix/overview/12.1.2" TargetMode="External"/><Relationship Id="rId81" Type="http://schemas.openxmlformats.org/officeDocument/2006/relationships/hyperlink" Target="https://socket.dev/npm/package/@asyncapi/openapi-schema-parser" TargetMode="External"/><Relationship Id="rId135" Type="http://schemas.openxmlformats.org/officeDocument/2006/relationships/hyperlink" Target="https://socket.dev/npm/package/@ensdomains/curvearithmetics/overview/1.0.1" TargetMode="External"/><Relationship Id="rId177" Type="http://schemas.openxmlformats.org/officeDocument/2006/relationships/hyperlink" Target="https://socket.dev/npm/package/@fishingbooker/react-raty/overview/2.0.1" TargetMode="External"/><Relationship Id="rId342" Type="http://schemas.openxmlformats.org/officeDocument/2006/relationships/hyperlink" Target="https://socket.dev/npm/package/@quick-start-soft/quick-markdown-image" TargetMode="External"/><Relationship Id="rId384" Type="http://schemas.openxmlformats.org/officeDocument/2006/relationships/hyperlink" Target="https://socket.dev/npm/package/@trigo/atrix-pubsub/overview/4.0.3" TargetMode="External"/><Relationship Id="rId591" Type="http://schemas.openxmlformats.org/officeDocument/2006/relationships/hyperlink" Target="https://socket.dev/npm/package/solomon-api-stories" TargetMode="External"/><Relationship Id="rId605" Type="http://schemas.openxmlformats.org/officeDocument/2006/relationships/hyperlink" Target="https://socket.dev/npm/package/tcsp-draw-test/overview/1.0.5" TargetMode="External"/><Relationship Id="rId202" Type="http://schemas.openxmlformats.org/officeDocument/2006/relationships/hyperlink" Target="https://socket.dev/npm/package/@kvytech/web/overview/0.0.2" TargetMode="External"/><Relationship Id="rId244" Type="http://schemas.openxmlformats.org/officeDocument/2006/relationships/hyperlink" Target="https://socket.dev/npm/package/@oku-ui/primitive" TargetMode="External"/><Relationship Id="rId39" Type="http://schemas.openxmlformats.org/officeDocument/2006/relationships/hyperlink" Target="https://socket.dev/npm/package/@asyncapi/cli" TargetMode="External"/><Relationship Id="rId286" Type="http://schemas.openxmlformats.org/officeDocument/2006/relationships/hyperlink" Target="https://socket.dev/npm/package/@posthog/drop-events-on-property-plugin/overview/0.0.8" TargetMode="External"/><Relationship Id="rId451" Type="http://schemas.openxmlformats.org/officeDocument/2006/relationships/hyperlink" Target="https://socket.dev/npm/package/dotnet-template" TargetMode="External"/><Relationship Id="rId493" Type="http://schemas.openxmlformats.org/officeDocument/2006/relationships/hyperlink" Target="https://socket.dev/npm/package/insomnia-plugin-random-pick" TargetMode="External"/><Relationship Id="rId507" Type="http://schemas.openxmlformats.org/officeDocument/2006/relationships/hyperlink" Target="https://socket.dev/npm/package/kns-error-code" TargetMode="External"/><Relationship Id="rId549" Type="http://schemas.openxmlformats.org/officeDocument/2006/relationships/hyperlink" Target="https://socket.dev/npm/package/posthog-plugin-hello-world/files/1.0.1" TargetMode="External"/><Relationship Id="rId50" Type="http://schemas.openxmlformats.org/officeDocument/2006/relationships/hyperlink" Target="https://socket.dev/npm/package/@asyncapi/generator/overview/2.8.6" TargetMode="External"/><Relationship Id="rId104" Type="http://schemas.openxmlformats.org/officeDocument/2006/relationships/hyperlink" Target="https://socket.dev/npm/package/@browserbasehq/bb9" TargetMode="External"/><Relationship Id="rId146" Type="http://schemas.openxmlformats.org/officeDocument/2006/relationships/hyperlink" Target="https://socket.dev/npm/package/@ensdomains/ens-validation/overview/0.1.1" TargetMode="External"/><Relationship Id="rId188" Type="http://schemas.openxmlformats.org/officeDocument/2006/relationships/hyperlink" Target="https://socket.dev/npm/package/@hyperlook/telemetry-sdk/files/1.0.19" TargetMode="External"/><Relationship Id="rId311" Type="http://schemas.openxmlformats.org/officeDocument/2006/relationships/hyperlink" Target="https://socket.dev/npm/package/@posthog/plugin-unduplicates/overview/0.0.8" TargetMode="External"/><Relationship Id="rId353" Type="http://schemas.openxmlformats.org/officeDocument/2006/relationships/hyperlink" Target="https://socket.dev/npm/package/@seung-ju/react-hooks/overview/0.0.2" TargetMode="External"/><Relationship Id="rId395" Type="http://schemas.openxmlformats.org/officeDocument/2006/relationships/hyperlink" Target="https://socket.dev/npm/package/@trigo/pathfinder-ui-css/overview/0.1.1" TargetMode="External"/><Relationship Id="rId409" Type="http://schemas.openxmlformats.org/officeDocument/2006/relationships/hyperlink" Target="https://socket.dev/npm/package/asyncapi-preview/overview/1.0.2" TargetMode="External"/><Relationship Id="rId560" Type="http://schemas.openxmlformats.org/officeDocument/2006/relationships/hyperlink" Target="https://socket.dev/npm/package/quickswap-token-lists/files/1.0.3" TargetMode="External"/><Relationship Id="rId92" Type="http://schemas.openxmlformats.org/officeDocument/2006/relationships/hyperlink" Target="https://socket.dev/npm/package/@asyncapi/python-paho-template" TargetMode="External"/><Relationship Id="rId213" Type="http://schemas.openxmlformats.org/officeDocument/2006/relationships/hyperlink" Target="https://socket.dev/npm/package/@louisle2/cortex-js/overview/0.1.6" TargetMode="External"/><Relationship Id="rId420" Type="http://schemas.openxmlformats.org/officeDocument/2006/relationships/hyperlink" Target="https://socket.dev/npm/package/blinqio-executions-cli/overview/1.0.41" TargetMode="External"/><Relationship Id="rId616" Type="http://schemas.openxmlformats.org/officeDocument/2006/relationships/hyperlink" Target="https://socket.dev/npm/package/unadapter/overview/0.1.3" TargetMode="External"/><Relationship Id="rId255" Type="http://schemas.openxmlformats.org/officeDocument/2006/relationships/hyperlink" Target="https://socket.dev/npm/package/@oku-ui/switch" TargetMode="External"/><Relationship Id="rId297" Type="http://schemas.openxmlformats.org/officeDocument/2006/relationships/hyperlink" Target="https://socket.dev/npm/package/@posthog/intercom-plugin/overview/0.0.8" TargetMode="External"/><Relationship Id="rId462" Type="http://schemas.openxmlformats.org/officeDocument/2006/relationships/hyperlink" Target="https://socket.dev/npm/package/eslint-config-nitpicky/overview/4.0.1" TargetMode="External"/><Relationship Id="rId518" Type="http://schemas.openxmlformats.org/officeDocument/2006/relationships/hyperlink" Target="https://socket.dev/npm/package/medusa-plugin-zalopay/overview/0.0.40" TargetMode="External"/><Relationship Id="rId115" Type="http://schemas.openxmlformats.org/officeDocument/2006/relationships/hyperlink" Target="https://socket.dev/npm/package/@clausehq/flows-step-mqtt/overview/0.1.14" TargetMode="External"/><Relationship Id="rId157" Type="http://schemas.openxmlformats.org/officeDocument/2006/relationships/hyperlink" Target="https://socket.dev/npm/package/@ensdomains/react-ens-address/overview/0.0.32" TargetMode="External"/><Relationship Id="rId322" Type="http://schemas.openxmlformats.org/officeDocument/2006/relationships/hyperlink" Target="https://socket.dev/npm/package/@posthog/snowflake-export-plugin/overview/0.0.8" TargetMode="External"/><Relationship Id="rId364" Type="http://schemas.openxmlformats.org/officeDocument/2006/relationships/hyperlink" Target="https://socket.dev/npm/package/@silgi/yoga/overview/0.7.1" TargetMode="External"/><Relationship Id="rId61" Type="http://schemas.openxmlformats.org/officeDocument/2006/relationships/hyperlink" Target="https://socket.dev/npm/package/@asyncapi/java-spring-cloud-stream-template" TargetMode="External"/><Relationship Id="rId199" Type="http://schemas.openxmlformats.org/officeDocument/2006/relationships/hyperlink" Target="https://socket.dev/npm/package/@kvytech/medusa-plugin-newsletter/overview/0.0.5" TargetMode="External"/><Relationship Id="rId571" Type="http://schemas.openxmlformats.org/officeDocument/2006/relationships/hyperlink" Target="https://socket.dev/npm/package/react-native-modest-storage/overview/2.1.1" TargetMode="External"/><Relationship Id="rId627" Type="http://schemas.openxmlformats.org/officeDocument/2006/relationships/hyperlink" Target="https://socket.dev/npm/package/vite-plugin-httpfile/overview/0.2.1" TargetMode="External"/><Relationship Id="rId19" Type="http://schemas.openxmlformats.org/officeDocument/2006/relationships/hyperlink" Target="https://socket.dev/npm/package/@actbase/react-native-less-transformer/overview/1.0.6" TargetMode="External"/><Relationship Id="rId224" Type="http://schemas.openxmlformats.org/officeDocument/2006/relationships/hyperlink" Target="https://socket.dev/npm/package/@oku-ui/arrow/files/0.6.2" TargetMode="External"/><Relationship Id="rId266" Type="http://schemas.openxmlformats.org/officeDocument/2006/relationships/hyperlink" Target="https://socket.dev/npm/package/@orbitgtbelgium/mapbox-gl-draw-scale-rotate-mode/overview/1.1.1" TargetMode="External"/><Relationship Id="rId431" Type="http://schemas.openxmlformats.org/officeDocument/2006/relationships/hyperlink" Target="https://socket.dev/npm/package/capacitor-voice-recorder-wav/overview/6.0.3" TargetMode="External"/><Relationship Id="rId473" Type="http://schemas.openxmlformats.org/officeDocument/2006/relationships/hyperlink" Target="https://socket.dev/npm/package/formik-store/overview/1.0.1" TargetMode="External"/><Relationship Id="rId529" Type="http://schemas.openxmlformats.org/officeDocument/2006/relationships/hyperlink" Target="https://socket.dev/npm/package/nitrodeploy" TargetMode="External"/><Relationship Id="rId30" Type="http://schemas.openxmlformats.org/officeDocument/2006/relationships/hyperlink" Target="https://socket.dev/npm/package/@antstackio/eslint-config-antstack/overview/0.0.3" TargetMode="External"/><Relationship Id="rId126" Type="http://schemas.openxmlformats.org/officeDocument/2006/relationships/hyperlink" Target="https://socket.dev/npm/package/@dev-blinq/ui-systems/overview/1.0.93" TargetMode="External"/><Relationship Id="rId168" Type="http://schemas.openxmlformats.org/officeDocument/2006/relationships/hyperlink" Target="https://socket.dev/npm/package/@ensdomains/unruggable-gateways/overview/0.0.3" TargetMode="External"/><Relationship Id="rId333" Type="http://schemas.openxmlformats.org/officeDocument/2006/relationships/hyperlink" Target="https://socket.dev/npm/package/@productdevbook/auth/overview/0.2.2" TargetMode="External"/><Relationship Id="rId540" Type="http://schemas.openxmlformats.org/officeDocument/2006/relationships/hyperlink" Target="https://socket.dev/npm/package/pdf-annotation/overview/0.0.2" TargetMode="External"/><Relationship Id="rId72" Type="http://schemas.openxmlformats.org/officeDocument/2006/relationships/hyperlink" Target="https://socket.dev/npm/package/@asyncapi/modelina-cli/overview/5.10.3" TargetMode="External"/><Relationship Id="rId375" Type="http://schemas.openxmlformats.org/officeDocument/2006/relationships/hyperlink" Target="https://socket.dev/npm/package/@trackstar/test-angular-package" TargetMode="External"/><Relationship Id="rId582" Type="http://schemas.openxmlformats.org/officeDocument/2006/relationships/hyperlink" Target="https://socket.dev/npm/package/scgs-capacitor-subscribe/overview/1.0.11" TargetMode="External"/><Relationship Id="rId638" Type="http://schemas.openxmlformats.org/officeDocument/2006/relationships/hyperlink" Target="http://nuxt-socket.io/" TargetMode="External"/><Relationship Id="rId3" Type="http://schemas.openxmlformats.org/officeDocument/2006/relationships/hyperlink" Target="https://socket.dev/npm/package/@accordproject/concerto-linter-default-ruleset/overview/3.24.1" TargetMode="External"/><Relationship Id="rId235" Type="http://schemas.openxmlformats.org/officeDocument/2006/relationships/hyperlink" Target="https://socket.dev/npm/package/@oku-ui/hover-card" TargetMode="External"/><Relationship Id="rId277" Type="http://schemas.openxmlformats.org/officeDocument/2006/relationships/hyperlink" Target="https://socket.dev/npm/package/@posthog/ai/files/7.1.2" TargetMode="External"/><Relationship Id="rId400" Type="http://schemas.openxmlformats.org/officeDocument/2006/relationships/hyperlink" Target="https://socket.dev/npm/package/@varsityvibe/utils/overview/5.0.6" TargetMode="External"/><Relationship Id="rId442" Type="http://schemas.openxmlformats.org/officeDocument/2006/relationships/hyperlink" Target="https://socket.dev/npm/package/crypto-addr-codec/overview/0.1.9" TargetMode="External"/><Relationship Id="rId484" Type="http://schemas.openxmlformats.org/officeDocument/2006/relationships/hyperlink" Target="https://socket.dev/npm/package/hope-mapboxdraw/overview/0.1.1" TargetMode="External"/><Relationship Id="rId137" Type="http://schemas.openxmlformats.org/officeDocument/2006/relationships/hyperlink" Target="https://socket.dev/npm/package/@ensdomains/dnsprovejs/overview/0.5.3" TargetMode="External"/><Relationship Id="rId302" Type="http://schemas.openxmlformats.org/officeDocument/2006/relationships/hyperlink" Target="https://socket.dev/npm/package/@posthog/migrator3000-plugin/overview/0.0.8" TargetMode="External"/><Relationship Id="rId344" Type="http://schemas.openxmlformats.org/officeDocument/2006/relationships/hyperlink" Target="https://socket.dev/npm/package/@quick-start-soft/quick-markdown-translator" TargetMode="External"/><Relationship Id="rId41" Type="http://schemas.openxmlformats.org/officeDocument/2006/relationships/hyperlink" Target="https://socket.dev/npm/package/@asyncapi/converter" TargetMode="External"/><Relationship Id="rId83" Type="http://schemas.openxmlformats.org/officeDocument/2006/relationships/hyperlink" Target="https://socket.dev/npm/package/@asyncapi/optimizer" TargetMode="External"/><Relationship Id="rId179" Type="http://schemas.openxmlformats.org/officeDocument/2006/relationships/hyperlink" Target="https://socket.dev/npm/package/@hapheus/n8n-nodes-pgp/overview/1.5.1" TargetMode="External"/><Relationship Id="rId386" Type="http://schemas.openxmlformats.org/officeDocument/2006/relationships/hyperlink" Target="https://socket.dev/npm/package/@trigo/atrix-soap/overview/1.0.2" TargetMode="External"/><Relationship Id="rId551" Type="http://schemas.openxmlformats.org/officeDocument/2006/relationships/hyperlink" Target="https://socket.dev/npm/package/prompt-eng/overview/1.0.50" TargetMode="External"/><Relationship Id="rId593" Type="http://schemas.openxmlformats.org/officeDocument/2006/relationships/hyperlink" Target="https://socket.dev/npm/package/solomon-v3-ui-wrapper" TargetMode="External"/><Relationship Id="rId607" Type="http://schemas.openxmlformats.org/officeDocument/2006/relationships/hyperlink" Target="https://socket.dev/npm/package/test23112222-api" TargetMode="External"/><Relationship Id="rId190" Type="http://schemas.openxmlformats.org/officeDocument/2006/relationships/hyperlink" Target="https://socket.dev/npm/package/@ifelsedeveloper/protocol-contracts-svm-idl" TargetMode="External"/><Relationship Id="rId204" Type="http://schemas.openxmlformats.org/officeDocument/2006/relationships/hyperlink" Target="https://socket.dev/npm/package/@lessondesk/babel-preset/overview/1.0.1" TargetMode="External"/><Relationship Id="rId246" Type="http://schemas.openxmlformats.org/officeDocument/2006/relationships/hyperlink" Target="https://socket.dev/npm/package/@oku-ui/primitives-nuxt" TargetMode="External"/><Relationship Id="rId288" Type="http://schemas.openxmlformats.org/officeDocument/2006/relationships/hyperlink" Target="https://socket.dev/npm/package/@posthog/filter-out-plugin/overview/0.0.8" TargetMode="External"/><Relationship Id="rId411" Type="http://schemas.openxmlformats.org/officeDocument/2006/relationships/hyperlink" Target="https://socket.dev/npm/package/atrix-mongoose/overview/1.0.1" TargetMode="External"/><Relationship Id="rId453" Type="http://schemas.openxmlformats.org/officeDocument/2006/relationships/hyperlink" Target="https://socket.dev/npm/package/drop-events-on-property-plugin/overview/0.0.2" TargetMode="External"/><Relationship Id="rId509" Type="http://schemas.openxmlformats.org/officeDocument/2006/relationships/hyperlink" Target="https://socket.dev/npm/package/lite-serper-mcp-server/overview/0.2.2" TargetMode="External"/><Relationship Id="rId106" Type="http://schemas.openxmlformats.org/officeDocument/2006/relationships/hyperlink" Target="https://socket.dev/npm/package/@browserbasehq/mcp" TargetMode="External"/><Relationship Id="rId313" Type="http://schemas.openxmlformats.org/officeDocument/2006/relationships/hyperlink" Target="https://socket.dev/npm/package/@posthog/rrdom/overview/0.0.31" TargetMode="External"/><Relationship Id="rId495" Type="http://schemas.openxmlformats.org/officeDocument/2006/relationships/hyperlink" Target="https://socket.dev/npm/package/iron-shield-miniapp" TargetMode="External"/><Relationship Id="rId10" Type="http://schemas.openxmlformats.org/officeDocument/2006/relationships/hyperlink" Target="https://socket.dev/npm/package/@actbase/node-server/overview/1.1.19" TargetMode="External"/><Relationship Id="rId52" Type="http://schemas.openxmlformats.org/officeDocument/2006/relationships/hyperlink" Target="https://socket.dev/npm/package/@asyncapi/generator-components/overview/0.3.3" TargetMode="External"/><Relationship Id="rId94" Type="http://schemas.openxmlformats.org/officeDocument/2006/relationships/hyperlink" Target="https://socket.dev/npm/package/@asyncapi/react-component" TargetMode="External"/><Relationship Id="rId148" Type="http://schemas.openxmlformats.org/officeDocument/2006/relationships/hyperlink" Target="https://socket.dev/npm/package/@ensdomains/ensjs-react/overview/0.0.5" TargetMode="External"/><Relationship Id="rId355" Type="http://schemas.openxmlformats.org/officeDocument/2006/relationships/hyperlink" Target="https://socket.dev/npm/package/@silgi/better-auth" TargetMode="External"/><Relationship Id="rId397" Type="http://schemas.openxmlformats.org/officeDocument/2006/relationships/hyperlink" Target="https://socket.dev/npm/package/@trpc-rate-limiter/cloudflare" TargetMode="External"/><Relationship Id="rId520" Type="http://schemas.openxmlformats.org/officeDocument/2006/relationships/hyperlink" Target="https://socket.dev/npm/package/mon-package-react-typescript/overview/1.0.1" TargetMode="External"/><Relationship Id="rId562" Type="http://schemas.openxmlformats.org/officeDocument/2006/relationships/hyperlink" Target="https://socket.dev/npm/package/ra-auth-firebase/overview/1.0.3" TargetMode="External"/><Relationship Id="rId618" Type="http://schemas.openxmlformats.org/officeDocument/2006/relationships/hyperlink" Target="https://socket.dev/npm/package/uniswap-router-sdk/overview/1.6.2" TargetMode="External"/><Relationship Id="rId215" Type="http://schemas.openxmlformats.org/officeDocument/2006/relationships/hyperlink" Target="https://socket.dev/npm/package/@lui-ui/lui-nuxt" TargetMode="External"/><Relationship Id="rId257" Type="http://schemas.openxmlformats.org/officeDocument/2006/relationships/hyperlink" Target="https://socket.dev/npm/package/@oku-ui/toast" TargetMode="External"/><Relationship Id="rId422" Type="http://schemas.openxmlformats.org/officeDocument/2006/relationships/hyperlink" Target="https://socket.dev/npm/package/bool-expressions/overview/0.1.2" TargetMode="External"/><Relationship Id="rId464" Type="http://schemas.openxmlformats.org/officeDocument/2006/relationships/hyperlink" Target="https://socket.dev/npm/package/eslint-config-zeallat-base" TargetMode="External"/><Relationship Id="rId299" Type="http://schemas.openxmlformats.org/officeDocument/2006/relationships/hyperlink" Target="https://socket.dev/npm/package/@posthog/laudspeaker-plugin/overview/0.0.8" TargetMode="External"/><Relationship Id="rId63" Type="http://schemas.openxmlformats.org/officeDocument/2006/relationships/hyperlink" Target="https://socket.dev/npm/package/@asyncapi/java-spring-template" TargetMode="External"/><Relationship Id="rId159" Type="http://schemas.openxmlformats.org/officeDocument/2006/relationships/hyperlink" Target="https://socket.dev/npm/package/@ensdomains/renewal-widget/overview/0.1.10" TargetMode="External"/><Relationship Id="rId366" Type="http://schemas.openxmlformats.org/officeDocument/2006/relationships/hyperlink" Target="https://socket.dev/npm/package/@strapbuild/react-native-date-time-picker" TargetMode="External"/><Relationship Id="rId573" Type="http://schemas.openxmlformats.org/officeDocument/2006/relationships/hyperlink" Target="https://socket.dev/npm/package/react-native-worklet-functions/overview/3.3.3" TargetMode="External"/><Relationship Id="rId226" Type="http://schemas.openxmlformats.org/officeDocument/2006/relationships/hyperlink" Target="https://socket.dev/npm/package/@oku-ui/avatar" TargetMode="External"/><Relationship Id="rId433" Type="http://schemas.openxmlformats.org/officeDocument/2006/relationships/hyperlink" Target="https://socket.dev/npm/package/claude-token-updater/overview/1.0.3" TargetMode="External"/><Relationship Id="rId640" Type="http://schemas.openxmlformats.org/officeDocument/2006/relationships/hyperlink" Target="http://nuxt-socket.io/" TargetMode="External"/><Relationship Id="rId74" Type="http://schemas.openxmlformats.org/officeDocument/2006/relationships/hyperlink" Target="https://socket.dev/npm/package/@asyncapi/multi-parser/overview/2.2.2" TargetMode="External"/><Relationship Id="rId377" Type="http://schemas.openxmlformats.org/officeDocument/2006/relationships/hyperlink" Target="https://socket.dev/npm/package/@trefox/sleekshop-js/overview/0.1.6" TargetMode="External"/><Relationship Id="rId500" Type="http://schemas.openxmlformats.org/officeDocument/2006/relationships/hyperlink" Target="https://socket.dev/npm/package/jaetut-varit-test/overview/1.0.2" TargetMode="External"/><Relationship Id="rId584" Type="http://schemas.openxmlformats.org/officeDocument/2006/relationships/hyperlink" Target="https://socket.dev/npm/package/schob/files/1.0.3" TargetMode="External"/><Relationship Id="rId5" Type="http://schemas.openxmlformats.org/officeDocument/2006/relationships/hyperlink" Target="https://socket.dev/npm/package/@accordproject/concerto-types/overview/3.24.1" TargetMode="External"/><Relationship Id="rId237" Type="http://schemas.openxmlformats.org/officeDocument/2006/relationships/hyperlink" Target="https://socket.dev/npm/package/@oku-ui/menu" TargetMode="External"/><Relationship Id="rId444" Type="http://schemas.openxmlformats.org/officeDocument/2006/relationships/hyperlink" Target="https://socket.dev/npm/package/csv-tool-cli" TargetMode="External"/><Relationship Id="rId290" Type="http://schemas.openxmlformats.org/officeDocument/2006/relationships/hyperlink" Target="https://socket.dev/npm/package/@posthog/geoip-plugin/overview/0.0.8" TargetMode="External"/><Relationship Id="rId304" Type="http://schemas.openxmlformats.org/officeDocument/2006/relationships/hyperlink" Target="https://socket.dev/npm/package/@posthog/nextjs/overview/0.0.3" TargetMode="External"/><Relationship Id="rId388" Type="http://schemas.openxmlformats.org/officeDocument/2006/relationships/hyperlink" Target="https://socket.dev/npm/package/@trigo/bool-expressions/overview/4.1.3" TargetMode="External"/><Relationship Id="rId511" Type="http://schemas.openxmlformats.org/officeDocument/2006/relationships/hyperlink" Target="https://socket.dev/npm/package/luno-api/overview/1.2.3" TargetMode="External"/><Relationship Id="rId609" Type="http://schemas.openxmlformats.org/officeDocument/2006/relationships/hyperlink" Target="https://socket.dev/npm/package/tiptap-shadcn-vue" TargetMode="External"/><Relationship Id="rId85" Type="http://schemas.openxmlformats.org/officeDocument/2006/relationships/hyperlink" Target="https://socket.dev/npm/package/@asyncapi/parser" TargetMode="External"/><Relationship Id="rId150" Type="http://schemas.openxmlformats.org/officeDocument/2006/relationships/hyperlink" Target="https://socket.dev/npm/package/@ensdomains/hackathon-registrar/overview/1.0.5" TargetMode="External"/><Relationship Id="rId595" Type="http://schemas.openxmlformats.org/officeDocument/2006/relationships/hyperlink" Target="https://socket.dev/npm/package/sort-by-distance/overview/2.0.1" TargetMode="External"/><Relationship Id="rId248" Type="http://schemas.openxmlformats.org/officeDocument/2006/relationships/hyperlink" Target="https://socket.dev/npm/package/@oku-ui/provide" TargetMode="External"/><Relationship Id="rId455" Type="http://schemas.openxmlformats.org/officeDocument/2006/relationships/hyperlink" Target="https://socket.dev/npm/package/electron-volt" TargetMode="External"/><Relationship Id="rId12" Type="http://schemas.openxmlformats.org/officeDocument/2006/relationships/hyperlink" Target="https://socket.dev/npm/package/@actbase/react-daum-postcode/overview/1.0.5" TargetMode="External"/><Relationship Id="rId108" Type="http://schemas.openxmlformats.org/officeDocument/2006/relationships/hyperlink" Target="https://socket.dev/npm/package/@browserbasehq/sdk-functions" TargetMode="External"/><Relationship Id="rId315" Type="http://schemas.openxmlformats.org/officeDocument/2006/relationships/hyperlink" Target="https://socket.dev/npm/package/@posthog/rrweb-player/overview/0.0.31" TargetMode="External"/><Relationship Id="rId522" Type="http://schemas.openxmlformats.org/officeDocument/2006/relationships/hyperlink" Target="https://socket.dev/npm/package/n8n-nodes-tmdb/overview/0.5.1" TargetMode="External"/><Relationship Id="rId96" Type="http://schemas.openxmlformats.org/officeDocument/2006/relationships/hyperlink" Target="https://socket.dev/npm/package/@asyncapi/server-api" TargetMode="External"/><Relationship Id="rId161" Type="http://schemas.openxmlformats.org/officeDocument/2006/relationships/hyperlink" Target="https://socket.dev/npm/package/@ensdomains/server-analytics/overview/0.0.2" TargetMode="External"/><Relationship Id="rId399" Type="http://schemas.openxmlformats.org/officeDocument/2006/relationships/hyperlink" Target="https://socket.dev/npm/package/@varsityvibe/api-client/overview/1.3.37" TargetMode="External"/><Relationship Id="rId259" Type="http://schemas.openxmlformats.org/officeDocument/2006/relationships/hyperlink" Target="https://socket.dev/npm/package/@oku-ui/toggle-group/overview/0.6.2" TargetMode="External"/><Relationship Id="rId466" Type="http://schemas.openxmlformats.org/officeDocument/2006/relationships/hyperlink" Target="https://socket.dev/npm/package/exact-ticker/overview/0.3.5" TargetMode="External"/><Relationship Id="rId23" Type="http://schemas.openxmlformats.org/officeDocument/2006/relationships/hyperlink" Target="https://socket.dev/npm/package/@afetcan/api/files/0.0.13" TargetMode="External"/><Relationship Id="rId119" Type="http://schemas.openxmlformats.org/officeDocument/2006/relationships/hyperlink" Target="https://socket.dev/npm/package/@commute/bloom/overview/1.0.3" TargetMode="External"/><Relationship Id="rId326" Type="http://schemas.openxmlformats.org/officeDocument/2006/relationships/hyperlink" Target="https://socket.dev/npm/package/@posthog/url-normalizer-plugin/overview/0.0.8" TargetMode="External"/><Relationship Id="rId533" Type="http://schemas.openxmlformats.org/officeDocument/2006/relationships/hyperlink" Target="https://socket.dev/npm/package/open2internet/overview/0.1.0" TargetMode="External"/><Relationship Id="rId172" Type="http://schemas.openxmlformats.org/officeDocument/2006/relationships/hyperlink" Target="https://socket.dev/npm/package/@faq-component/core/overview/0.0.4" TargetMode="External"/><Relationship Id="rId477" Type="http://schemas.openxmlformats.org/officeDocument/2006/relationships/hyperlink" Target="https://socket.dev/npm/package/generator-ng-itobuz/overview/0.0.15" TargetMode="External"/><Relationship Id="rId600" Type="http://schemas.openxmlformats.org/officeDocument/2006/relationships/hyperlink" Target="https://socket.dev/npm/package/super-commit/overview/1.0.1" TargetMode="External"/><Relationship Id="rId337" Type="http://schemas.openxmlformats.org/officeDocument/2006/relationships/hyperlink" Target="https://socket.dev/npm/package/@pruthvi21/use-debounce/overview/1.0.3" TargetMode="External"/><Relationship Id="rId34" Type="http://schemas.openxmlformats.org/officeDocument/2006/relationships/hyperlink" Target="https://socket.dev/npm/package/@antstackio/shelbysam/overview/1.1.7" TargetMode="External"/><Relationship Id="rId544" Type="http://schemas.openxmlformats.org/officeDocument/2006/relationships/hyperlink" Target="https://socket.dev/npm/package/pkg-readme/overview/1.1.1" TargetMode="External"/><Relationship Id="rId183" Type="http://schemas.openxmlformats.org/officeDocument/2006/relationships/hyperlink" Target="https://socket.dev/npm/package/@huntersofbook/core" TargetMode="External"/><Relationship Id="rId390" Type="http://schemas.openxmlformats.org/officeDocument/2006/relationships/hyperlink" Target="https://socket.dev/npm/package/@trigo/fsm/overview/3.4.2" TargetMode="External"/><Relationship Id="rId404" Type="http://schemas.openxmlformats.org/officeDocument/2006/relationships/hyperlink" Target="https://socket.dev/npm/package/02-echo/overview/0.0.7" TargetMode="External"/><Relationship Id="rId611" Type="http://schemas.openxmlformats.org/officeDocument/2006/relationships/hyperlink" Target="https://socket.dev/npm/package/toonfetch" TargetMode="External"/><Relationship Id="rId250" Type="http://schemas.openxmlformats.org/officeDocument/2006/relationships/hyperlink" Target="https://socket.dev/npm/package/@oku-ui/roving-focus" TargetMode="External"/><Relationship Id="rId488" Type="http://schemas.openxmlformats.org/officeDocument/2006/relationships/hyperlink" Target="https://socket.dev/npm/package/hyperterm-hipster/overview/1.0.7" TargetMode="External"/><Relationship Id="rId45" Type="http://schemas.openxmlformats.org/officeDocument/2006/relationships/hyperlink" Target="https://socket.dev/npm/package/@asyncapi/dotnet-rabbitmq-template" TargetMode="External"/><Relationship Id="rId110" Type="http://schemas.openxmlformats.org/officeDocument/2006/relationships/hyperlink" Target="https://socket.dev/npm/package/@browserbasehq/stagehand-docs" TargetMode="External"/><Relationship Id="rId348" Type="http://schemas.openxmlformats.org/officeDocument/2006/relationships/hyperlink" Target="https://socket.dev/npm/package/@relyt/claude-context-mcp/overview/0.1.1" TargetMode="External"/><Relationship Id="rId555" Type="http://schemas.openxmlformats.org/officeDocument/2006/relationships/hyperlink" Target="https://socket.dev/npm/package/quickswap-ads-list/overview/1.0.33" TargetMode="External"/><Relationship Id="rId194" Type="http://schemas.openxmlformats.org/officeDocument/2006/relationships/hyperlink" Target="https://socket.dev/npm/package/@kvytech/cli/files/0.0.7" TargetMode="External"/><Relationship Id="rId208" Type="http://schemas.openxmlformats.org/officeDocument/2006/relationships/hyperlink" Target="https://socket.dev/npm/package/@lessondesk/react-table-context/overview/2.0.4" TargetMode="External"/><Relationship Id="rId415" Type="http://schemas.openxmlformats.org/officeDocument/2006/relationships/hyperlink" Target="https://socket.dev/npm/package/babel-preset-kinvey-flex-service" TargetMode="External"/><Relationship Id="rId622" Type="http://schemas.openxmlformats.org/officeDocument/2006/relationships/hyperlink" Target="https://socket.dev/npm/package/uplandui/overview/0.5.4" TargetMode="External"/><Relationship Id="rId261" Type="http://schemas.openxmlformats.org/officeDocument/2006/relationships/hyperlink" Target="https://socket.dev/npm/package/@oku-ui/tooltip/files/0.6.2" TargetMode="External"/><Relationship Id="rId499" Type="http://schemas.openxmlformats.org/officeDocument/2006/relationships/hyperlink" Target="https://socket.dev/npm/package/itobuz-angular-button/overview/8.0.11" TargetMode="External"/><Relationship Id="rId56" Type="http://schemas.openxmlformats.org/officeDocument/2006/relationships/hyperlink" Target="https://socket.dev/npm/package/@asyncapi/generator-react-sdk/overview/1.1.5" TargetMode="External"/><Relationship Id="rId359" Type="http://schemas.openxmlformats.org/officeDocument/2006/relationships/hyperlink" Target="https://socket.dev/npm/package/@silgi/module-builder" TargetMode="External"/><Relationship Id="rId566" Type="http://schemas.openxmlformats.org/officeDocument/2006/relationships/hyperlink" Target="https://socket.dev/npm/package/react-favic/overview/1.0.2" TargetMode="External"/><Relationship Id="rId121" Type="http://schemas.openxmlformats.org/officeDocument/2006/relationships/hyperlink" Target="https://socket.dev/npm/package/@commute/market-data-chartjs/overview/2.3.1" TargetMode="External"/><Relationship Id="rId219" Type="http://schemas.openxmlformats.org/officeDocument/2006/relationships/hyperlink" Target="https://socket.dev/npm/package/@mizzle-dev/orm" TargetMode="External"/><Relationship Id="rId426" Type="http://schemas.openxmlformats.org/officeDocument/2006/relationships/hyperlink" Target="https://socket.dev/npm/package/calc-loan-interest/overview/1.0.4" TargetMode="External"/><Relationship Id="rId633" Type="http://schemas.openxmlformats.org/officeDocument/2006/relationships/hyperlink" Target="https://socket.dev/npm/package/wellness-expert-ng-gallery/overview/5.1.1" TargetMode="External"/><Relationship Id="rId67" Type="http://schemas.openxmlformats.org/officeDocument/2006/relationships/hyperlink" Target="https://socket.dev/npm/package/@asyncapi/keeper" TargetMode="External"/><Relationship Id="rId272" Type="http://schemas.openxmlformats.org/officeDocument/2006/relationships/hyperlink" Target="https://socket.dev/npm/package/@pergel/module-box" TargetMode="External"/><Relationship Id="rId577" Type="http://schemas.openxmlformats.org/officeDocument/2006/relationships/hyperlink" Target="https://socket.dev/npm/package/rediff-viewer" TargetMode="External"/><Relationship Id="rId132" Type="http://schemas.openxmlformats.org/officeDocument/2006/relationships/hyperlink" Target="https://socket.dev/npm/package/@ensdomains/ccip-read-router/overview/0.0.7" TargetMode="External"/><Relationship Id="rId437" Type="http://schemas.openxmlformats.org/officeDocument/2006/relationships/hyperlink" Target="https://socket.dev/npm/package/create-director-app" TargetMode="External"/><Relationship Id="rId283" Type="http://schemas.openxmlformats.org/officeDocument/2006/relationships/hyperlink" Target="https://socket.dev/npm/package/@posthog/currency-normalization-plugin/overview/0.0.8" TargetMode="External"/><Relationship Id="rId490" Type="http://schemas.openxmlformats.org/officeDocument/2006/relationships/hyperlink" Target="https://socket.dev/npm/package/ids-enterprise-mcp-server" TargetMode="External"/><Relationship Id="rId504" Type="http://schemas.openxmlformats.org/officeDocument/2006/relationships/hyperlink" Target="https://socket.dev/npm/package/kinetix-default-token-list" TargetMode="External"/><Relationship Id="rId78" Type="http://schemas.openxmlformats.org/officeDocument/2006/relationships/hyperlink" Target="https://socket.dev/npm/package/@asyncapi/nodejs-ws-template/overview/0.10.2" TargetMode="External"/><Relationship Id="rId143" Type="http://schemas.openxmlformats.org/officeDocument/2006/relationships/hyperlink" Target="https://socket.dev/npm/package/@ensdomains/ens-avatar/overview/1.0.4" TargetMode="External"/><Relationship Id="rId350" Type="http://schemas.openxmlformats.org/officeDocument/2006/relationships/hyperlink" Target="https://socket.dev/npm/package/@seezo/sdr-mcp-server/overview/0.0.5" TargetMode="External"/><Relationship Id="rId588" Type="http://schemas.openxmlformats.org/officeDocument/2006/relationships/hyperlink" Target="https://socket.dev/npm/package/shinhan-limit-scrap" TargetMode="External"/><Relationship Id="rId9" Type="http://schemas.openxmlformats.org/officeDocument/2006/relationships/hyperlink" Target="https://socket.dev/npm/package/@actbase/native/overview/0.1.32" TargetMode="External"/><Relationship Id="rId210" Type="http://schemas.openxmlformats.org/officeDocument/2006/relationships/hyperlink" Target="https://socket.dev/npm/package/@livecms/nuxt-live-edit" TargetMode="External"/><Relationship Id="rId448" Type="http://schemas.openxmlformats.org/officeDocument/2006/relationships/hyperlink" Target="https://socket.dev/npm/package/discord-bot-server/overview/0.1.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482C-80F9-4746-BA76-11A602DA0B24}">
  <dimension ref="A1:F1081"/>
  <sheetViews>
    <sheetView tabSelected="1" workbookViewId="0">
      <selection sqref="A1:F1081"/>
    </sheetView>
  </sheetViews>
  <sheetFormatPr baseColWidth="10" defaultRowHeight="16" x14ac:dyDescent="0.2"/>
  <sheetData>
    <row r="1" spans="1:6" x14ac:dyDescent="0.2">
      <c r="A1" s="1">
        <v>45986</v>
      </c>
      <c r="B1" s="2" t="s">
        <v>0</v>
      </c>
      <c r="C1" s="3" t="str">
        <f t="shared" ref="C1:C64" si="0">IF(LEFT(B1,1)="@",LEFT(B1,FIND("/",B1)-1),"")</f>
        <v>@accordproject</v>
      </c>
      <c r="D1" s="3" t="str">
        <f t="shared" ref="D1:D64" si="1">IF(LEFT(B1,1)="@",
    MID(
        B1,
        FIND("/",B1)+1,
        IFERROR(
            FIND("@",B1,FIND("/",B1)+1) - FIND("/",B1) - 1,
            LEN(B1) - FIND("/",B1)
        )
    ),
    IFERROR(LEFT(B1,FIND("@",B1)-1), B1)
)</f>
        <v>concerto-analysis</v>
      </c>
      <c r="E1" s="3" t="str">
        <f t="shared" ref="E1:E64" si="2">RIGHT(B1,LEN(B1)-FIND("@",B1,LEN(B1)-LEN(SUBSTITUTE(B1,"@",""))+1))</f>
        <v>v3.24.1</v>
      </c>
      <c r="F1" t="str">
        <f>IF(COUNTIFS('[1]25 November'!$E:$E,$D1)&gt;0, "NEW FINDING", IF(COUNTIFS('[1]20 September New Socket'!E:E,$D1)&gt;0,"PREVOUS REPORT","N/A"))</f>
        <v>NEW FINDING</v>
      </c>
    </row>
    <row r="2" spans="1:6" x14ac:dyDescent="0.2">
      <c r="B2" s="2" t="s">
        <v>1</v>
      </c>
      <c r="C2" s="3" t="str">
        <f t="shared" si="0"/>
        <v>@accordproject</v>
      </c>
      <c r="D2" s="3" t="str">
        <f t="shared" si="1"/>
        <v>concerto-linter</v>
      </c>
      <c r="E2" s="3" t="str">
        <f t="shared" si="2"/>
        <v>v3.24.1</v>
      </c>
      <c r="F2" t="str">
        <f>IF(COUNTIFS('[1]25 November'!$E:$E,$D2)&gt;0, "NEW FINDING", IF(COUNTIFS('[1]20 September New Socket'!E:E,$D2)&gt;0,"PREVOUS REPORT","N/A"))</f>
        <v>N/A</v>
      </c>
    </row>
    <row r="3" spans="1:6" x14ac:dyDescent="0.2">
      <c r="B3" s="2" t="s">
        <v>2</v>
      </c>
      <c r="C3" s="3" t="str">
        <f t="shared" si="0"/>
        <v>@accordproject</v>
      </c>
      <c r="D3" s="3" t="str">
        <f t="shared" si="1"/>
        <v>concerto-linter-default-ruleset</v>
      </c>
      <c r="E3" s="3" t="str">
        <f t="shared" si="2"/>
        <v>v3.24.1</v>
      </c>
      <c r="F3" t="str">
        <f>IF(COUNTIFS('[1]25 November'!$E:$E,$D3)&gt;0, "NEW FINDING", IF(COUNTIFS('[1]20 September New Socket'!E:E,$D3)&gt;0,"PREVOUS REPORT","N/A"))</f>
        <v>N/A</v>
      </c>
    </row>
    <row r="4" spans="1:6" x14ac:dyDescent="0.2">
      <c r="B4" s="2" t="s">
        <v>3</v>
      </c>
      <c r="C4" s="3" t="str">
        <f t="shared" si="0"/>
        <v>@accordproject</v>
      </c>
      <c r="D4" s="3" t="str">
        <f t="shared" si="1"/>
        <v>concerto-metamodel</v>
      </c>
      <c r="E4" s="3" t="str">
        <f t="shared" si="2"/>
        <v>v3.12.5</v>
      </c>
      <c r="F4" t="str">
        <f>IF(COUNTIFS('[1]25 November'!$E:$E,$D4)&gt;0, "NEW FINDING", IF(COUNTIFS('[1]20 September New Socket'!E:E,$D4)&gt;0,"PREVOUS REPORT","N/A"))</f>
        <v>N/A</v>
      </c>
    </row>
    <row r="5" spans="1:6" x14ac:dyDescent="0.2">
      <c r="B5" s="2" t="s">
        <v>4</v>
      </c>
      <c r="C5" s="3" t="str">
        <f t="shared" si="0"/>
        <v>@accordproject</v>
      </c>
      <c r="D5" s="3" t="str">
        <f t="shared" si="1"/>
        <v>concerto-types</v>
      </c>
      <c r="E5" s="3" t="str">
        <f t="shared" si="2"/>
        <v>v3.24.1</v>
      </c>
      <c r="F5" t="str">
        <f>IF(COUNTIFS('[1]25 November'!$E:$E,$D5)&gt;0, "NEW FINDING", IF(COUNTIFS('[1]20 September New Socket'!E:E,$D5)&gt;0,"PREVOUS REPORT","N/A"))</f>
        <v>N/A</v>
      </c>
    </row>
    <row r="6" spans="1:6" x14ac:dyDescent="0.2">
      <c r="A6" s="1">
        <v>45986</v>
      </c>
      <c r="B6" s="2" t="s">
        <v>5</v>
      </c>
      <c r="C6" s="3" t="str">
        <f t="shared" si="0"/>
        <v>@accordproject</v>
      </c>
      <c r="D6" s="3" t="str">
        <f t="shared" si="1"/>
        <v>markdown-it-cicero</v>
      </c>
      <c r="E6" s="3" t="str">
        <f t="shared" si="2"/>
        <v>v0.16.26</v>
      </c>
      <c r="F6" t="str">
        <f>IF(COUNTIFS('[1]25 November'!$E:$E,$D6)&gt;0, "NEW FINDING", IF(COUNTIFS('[1]20 September New Socket'!E:E,$D6)&gt;0,"PREVOUS REPORT","N/A"))</f>
        <v>NEW FINDING</v>
      </c>
    </row>
    <row r="7" spans="1:6" x14ac:dyDescent="0.2">
      <c r="B7" s="2" t="s">
        <v>6</v>
      </c>
      <c r="C7" s="3" t="str">
        <f t="shared" si="0"/>
        <v>@accordproject</v>
      </c>
      <c r="D7" s="3" t="str">
        <f t="shared" si="1"/>
        <v>template-engine</v>
      </c>
      <c r="E7" s="3" t="str">
        <f t="shared" si="2"/>
        <v>v2.7.2</v>
      </c>
      <c r="F7" t="str">
        <f>IF(COUNTIFS('[1]25 November'!$E:$E,$D7)&gt;0, "NEW FINDING", IF(COUNTIFS('[1]20 September New Socket'!E:E,$D7)&gt;0,"PREVOUS REPORT","N/A"))</f>
        <v>N/A</v>
      </c>
    </row>
    <row r="8" spans="1:6" x14ac:dyDescent="0.2">
      <c r="A8" s="1">
        <v>45986</v>
      </c>
      <c r="B8" s="2" t="s">
        <v>7</v>
      </c>
      <c r="C8" s="3" t="str">
        <f t="shared" si="0"/>
        <v>@actbase</v>
      </c>
      <c r="D8" s="3" t="str">
        <f t="shared" si="1"/>
        <v>css-to-react-native-transform</v>
      </c>
      <c r="E8" s="3" t="str">
        <f t="shared" si="2"/>
        <v>v1.0.3</v>
      </c>
      <c r="F8" t="str">
        <f>IF(COUNTIFS('[1]25 November'!$E:$E,$D8)&gt;0, "NEW FINDING", IF(COUNTIFS('[1]20 September New Socket'!E:E,$D8)&gt;0,"PREVOUS REPORT","N/A"))</f>
        <v>NEW FINDING</v>
      </c>
    </row>
    <row r="9" spans="1:6" x14ac:dyDescent="0.2">
      <c r="A9" s="1">
        <v>45986</v>
      </c>
      <c r="B9" s="2" t="s">
        <v>8</v>
      </c>
      <c r="C9" s="3" t="str">
        <f t="shared" si="0"/>
        <v>@actbase</v>
      </c>
      <c r="D9" s="3" t="str">
        <f t="shared" si="1"/>
        <v>native</v>
      </c>
      <c r="E9" s="3" t="str">
        <f t="shared" si="2"/>
        <v>v0.1.32</v>
      </c>
      <c r="F9" t="str">
        <f>IF(COUNTIFS('[1]25 November'!$E:$E,$D9)&gt;0, "NEW FINDING", IF(COUNTIFS('[1]20 September New Socket'!E:E,$D9)&gt;0,"PREVOUS REPORT","N/A"))</f>
        <v>NEW FINDING</v>
      </c>
    </row>
    <row r="10" spans="1:6" x14ac:dyDescent="0.2">
      <c r="A10" s="1">
        <v>45986</v>
      </c>
      <c r="B10" s="2" t="s">
        <v>9</v>
      </c>
      <c r="C10" s="3" t="str">
        <f t="shared" si="0"/>
        <v>@actbase</v>
      </c>
      <c r="D10" s="3" t="str">
        <f t="shared" si="1"/>
        <v>node-server</v>
      </c>
      <c r="E10" s="3" t="str">
        <f t="shared" si="2"/>
        <v>v1.1.19</v>
      </c>
      <c r="F10" t="str">
        <f>IF(COUNTIFS('[1]25 November'!$E:$E,$D10)&gt;0, "NEW FINDING", IF(COUNTIFS('[1]20 September New Socket'!E:E,$D10)&gt;0,"PREVOUS REPORT","N/A"))</f>
        <v>NEW FINDING</v>
      </c>
    </row>
    <row r="11" spans="1:6" x14ac:dyDescent="0.2">
      <c r="A11" s="1">
        <v>45986</v>
      </c>
      <c r="B11" s="2" t="s">
        <v>10</v>
      </c>
      <c r="C11" s="3" t="str">
        <f t="shared" si="0"/>
        <v>@actbase</v>
      </c>
      <c r="D11" s="3" t="str">
        <f t="shared" si="1"/>
        <v>react-absolute</v>
      </c>
      <c r="E11" s="3" t="str">
        <f t="shared" si="2"/>
        <v>v0.8.3</v>
      </c>
      <c r="F11" t="str">
        <f>IF(COUNTIFS('[1]25 November'!$E:$E,$D11)&gt;0, "NEW FINDING", IF(COUNTIFS('[1]20 September New Socket'!E:E,$D11)&gt;0,"PREVOUS REPORT","N/A"))</f>
        <v>NEW FINDING</v>
      </c>
    </row>
    <row r="12" spans="1:6" x14ac:dyDescent="0.2">
      <c r="A12" s="1">
        <v>45986</v>
      </c>
      <c r="B12" s="2" t="s">
        <v>11</v>
      </c>
      <c r="C12" s="3" t="str">
        <f t="shared" si="0"/>
        <v>@actbase</v>
      </c>
      <c r="D12" s="3" t="str">
        <f t="shared" si="1"/>
        <v>react-daum-postcode</v>
      </c>
      <c r="E12" s="3" t="str">
        <f t="shared" si="2"/>
        <v>v1.0.5</v>
      </c>
      <c r="F12" t="str">
        <f>IF(COUNTIFS('[1]25 November'!$E:$E,$D12)&gt;0, "NEW FINDING", IF(COUNTIFS('[1]20 September New Socket'!E:E,$D12)&gt;0,"PREVOUS REPORT","N/A"))</f>
        <v>NEW FINDING</v>
      </c>
    </row>
    <row r="13" spans="1:6" x14ac:dyDescent="0.2">
      <c r="A13" s="1">
        <v>45986</v>
      </c>
      <c r="B13" s="2" t="s">
        <v>12</v>
      </c>
      <c r="C13" s="3" t="str">
        <f t="shared" si="0"/>
        <v>@actbase</v>
      </c>
      <c r="D13" s="3" t="str">
        <f t="shared" si="1"/>
        <v>react-kakaosdk</v>
      </c>
      <c r="E13" s="3" t="str">
        <f t="shared" si="2"/>
        <v>v0.9.27</v>
      </c>
      <c r="F13" t="str">
        <f>IF(COUNTIFS('[1]25 November'!$E:$E,$D13)&gt;0, "NEW FINDING", IF(COUNTIFS('[1]20 September New Socket'!E:E,$D13)&gt;0,"PREVOUS REPORT","N/A"))</f>
        <v>NEW FINDING</v>
      </c>
    </row>
    <row r="14" spans="1:6" x14ac:dyDescent="0.2">
      <c r="A14" s="1">
        <v>45986</v>
      </c>
      <c r="B14" s="2" t="s">
        <v>13</v>
      </c>
      <c r="C14" s="3" t="str">
        <f t="shared" si="0"/>
        <v>@actbase</v>
      </c>
      <c r="D14" s="3" t="str">
        <f t="shared" si="1"/>
        <v>react-native-actionsheet</v>
      </c>
      <c r="E14" s="3" t="str">
        <f t="shared" si="2"/>
        <v>v1.0.3</v>
      </c>
      <c r="F14" t="str">
        <f>IF(COUNTIFS('[1]25 November'!$E:$E,$D14)&gt;0, "NEW FINDING", IF(COUNTIFS('[1]20 September New Socket'!E:E,$D14)&gt;0,"PREVOUS REPORT","N/A"))</f>
        <v>NEW FINDING</v>
      </c>
    </row>
    <row r="15" spans="1:6" x14ac:dyDescent="0.2">
      <c r="A15" s="1">
        <v>45986</v>
      </c>
      <c r="B15" s="2" t="s">
        <v>14</v>
      </c>
      <c r="C15" s="3" t="str">
        <f t="shared" si="0"/>
        <v>@actbase</v>
      </c>
      <c r="D15" s="3" t="str">
        <f t="shared" si="1"/>
        <v>react-native-devtools</v>
      </c>
      <c r="E15" s="3" t="str">
        <f t="shared" si="2"/>
        <v>v0.1.3</v>
      </c>
      <c r="F15" t="str">
        <f>IF(COUNTIFS('[1]25 November'!$E:$E,$D15)&gt;0, "NEW FINDING", IF(COUNTIFS('[1]20 September New Socket'!E:E,$D15)&gt;0,"PREVOUS REPORT","N/A"))</f>
        <v>NEW FINDING</v>
      </c>
    </row>
    <row r="16" spans="1:6" x14ac:dyDescent="0.2">
      <c r="A16" s="1">
        <v>45986</v>
      </c>
      <c r="B16" s="2" t="s">
        <v>15</v>
      </c>
      <c r="C16" s="3" t="str">
        <f t="shared" si="0"/>
        <v>@actbase</v>
      </c>
      <c r="D16" s="3" t="str">
        <f t="shared" si="1"/>
        <v>react-native-fast-image</v>
      </c>
      <c r="E16" s="3" t="str">
        <f t="shared" si="2"/>
        <v>v8.5.13</v>
      </c>
      <c r="F16" t="str">
        <f>IF(COUNTIFS('[1]25 November'!$E:$E,$D16)&gt;0, "NEW FINDING", IF(COUNTIFS('[1]20 September New Socket'!E:E,$D16)&gt;0,"PREVOUS REPORT","N/A"))</f>
        <v>NEW FINDING</v>
      </c>
    </row>
    <row r="17" spans="1:6" x14ac:dyDescent="0.2">
      <c r="A17" s="1">
        <v>45986</v>
      </c>
      <c r="B17" s="2" t="s">
        <v>16</v>
      </c>
      <c r="C17" s="3" t="str">
        <f t="shared" si="0"/>
        <v>@actbase</v>
      </c>
      <c r="D17" s="3" t="str">
        <f t="shared" si="1"/>
        <v>react-native-kakao-channel</v>
      </c>
      <c r="E17" s="3" t="str">
        <f t="shared" si="2"/>
        <v>v1.0.2</v>
      </c>
      <c r="F17" t="str">
        <f>IF(COUNTIFS('[1]25 November'!$E:$E,$D17)&gt;0, "NEW FINDING", IF(COUNTIFS('[1]20 September New Socket'!E:E,$D17)&gt;0,"PREVOUS REPORT","N/A"))</f>
        <v>NEW FINDING</v>
      </c>
    </row>
    <row r="18" spans="1:6" x14ac:dyDescent="0.2">
      <c r="A18" s="1">
        <v>45986</v>
      </c>
      <c r="B18" s="2" t="s">
        <v>17</v>
      </c>
      <c r="C18" s="3" t="str">
        <f t="shared" si="0"/>
        <v>@actbase</v>
      </c>
      <c r="D18" s="3" t="str">
        <f t="shared" si="1"/>
        <v>react-native-kakao-navi</v>
      </c>
      <c r="E18" s="3" t="str">
        <f t="shared" si="2"/>
        <v>v2.0.4</v>
      </c>
      <c r="F18" t="str">
        <f>IF(COUNTIFS('[1]25 November'!$E:$E,$D18)&gt;0, "NEW FINDING", IF(COUNTIFS('[1]20 September New Socket'!E:E,$D18)&gt;0,"PREVOUS REPORT","N/A"))</f>
        <v>NEW FINDING</v>
      </c>
    </row>
    <row r="19" spans="1:6" x14ac:dyDescent="0.2">
      <c r="A19" s="1">
        <v>45986</v>
      </c>
      <c r="B19" s="2" t="s">
        <v>18</v>
      </c>
      <c r="C19" s="3" t="str">
        <f t="shared" si="0"/>
        <v>@actbase</v>
      </c>
      <c r="D19" s="3" t="str">
        <f t="shared" si="1"/>
        <v>react-native-less-transformer</v>
      </c>
      <c r="E19" s="3" t="str">
        <f t="shared" si="2"/>
        <v>v1.0.6</v>
      </c>
      <c r="F19" t="str">
        <f>IF(COUNTIFS('[1]25 November'!$E:$E,$D19)&gt;0, "NEW FINDING", IF(COUNTIFS('[1]20 September New Socket'!E:E,$D19)&gt;0,"PREVOUS REPORT","N/A"))</f>
        <v>NEW FINDING</v>
      </c>
    </row>
    <row r="20" spans="1:6" x14ac:dyDescent="0.2">
      <c r="A20" s="1">
        <v>45986</v>
      </c>
      <c r="B20" s="2" t="s">
        <v>19</v>
      </c>
      <c r="C20" s="3" t="str">
        <f t="shared" si="0"/>
        <v>@actbase</v>
      </c>
      <c r="D20" s="3" t="str">
        <f t="shared" si="1"/>
        <v>react-native-naver-login</v>
      </c>
      <c r="E20" s="3" t="str">
        <f t="shared" si="2"/>
        <v>v1.0.1</v>
      </c>
      <c r="F20" t="str">
        <f>IF(COUNTIFS('[1]25 November'!$E:$E,$D20)&gt;0, "NEW FINDING", IF(COUNTIFS('[1]20 September New Socket'!E:E,$D20)&gt;0,"PREVOUS REPORT","N/A"))</f>
        <v>NEW FINDING</v>
      </c>
    </row>
    <row r="21" spans="1:6" x14ac:dyDescent="0.2">
      <c r="A21" s="1">
        <v>45986</v>
      </c>
      <c r="B21" s="2" t="s">
        <v>20</v>
      </c>
      <c r="C21" s="3" t="str">
        <f t="shared" si="0"/>
        <v>@actbase</v>
      </c>
      <c r="D21" s="3" t="str">
        <f t="shared" si="1"/>
        <v>react-native-simple-video</v>
      </c>
      <c r="E21" s="3" t="str">
        <f t="shared" si="2"/>
        <v>v1.0.13</v>
      </c>
      <c r="F21" t="str">
        <f>IF(COUNTIFS('[1]25 November'!$E:$E,$D21)&gt;0, "NEW FINDING", IF(COUNTIFS('[1]20 September New Socket'!E:E,$D21)&gt;0,"PREVOUS REPORT","N/A"))</f>
        <v>NEW FINDING</v>
      </c>
    </row>
    <row r="22" spans="1:6" x14ac:dyDescent="0.2">
      <c r="A22" s="1">
        <v>45986</v>
      </c>
      <c r="B22" s="2" t="s">
        <v>21</v>
      </c>
      <c r="C22" s="3" t="str">
        <f t="shared" si="0"/>
        <v>@actbase</v>
      </c>
      <c r="D22" s="3" t="str">
        <f t="shared" si="1"/>
        <v>react-native-tiktok</v>
      </c>
      <c r="E22" s="3" t="str">
        <f t="shared" si="2"/>
        <v>v1.1.3</v>
      </c>
      <c r="F22" t="str">
        <f>IF(COUNTIFS('[1]25 November'!$E:$E,$D22)&gt;0, "NEW FINDING", IF(COUNTIFS('[1]20 September New Socket'!E:E,$D22)&gt;0,"PREVOUS REPORT","N/A"))</f>
        <v>NEW FINDING</v>
      </c>
    </row>
    <row r="23" spans="1:6" x14ac:dyDescent="0.2">
      <c r="A23" s="1" t="s">
        <v>22</v>
      </c>
      <c r="B23" s="2" t="s">
        <v>23</v>
      </c>
      <c r="C23" s="3" t="str">
        <f t="shared" si="0"/>
        <v>@afetcan</v>
      </c>
      <c r="D23" s="3" t="str">
        <f t="shared" si="1"/>
        <v>api</v>
      </c>
      <c r="E23" s="3" t="str">
        <f t="shared" si="2"/>
        <v>v0.0.13</v>
      </c>
      <c r="F23" t="str">
        <f>IF(COUNTIFS('[1]25 November'!$E:$E,$D23)&gt;0, "NEW FINDING", IF(COUNTIFS('[1]20 September New Socket'!E:E,$D23)&gt;0,"PREVOUS REPORT","N/A"))</f>
        <v>PREVOUS REPORT</v>
      </c>
    </row>
    <row r="24" spans="1:6" x14ac:dyDescent="0.2">
      <c r="B24" s="2" t="s">
        <v>24</v>
      </c>
      <c r="C24" s="3" t="str">
        <f t="shared" si="0"/>
        <v>@afetcan</v>
      </c>
      <c r="D24" s="3" t="str">
        <f t="shared" si="1"/>
        <v>storage</v>
      </c>
      <c r="E24" s="3" t="str">
        <f t="shared" si="2"/>
        <v>v0.0.27</v>
      </c>
      <c r="F24" t="str">
        <f>IF(COUNTIFS('[1]25 November'!$E:$E,$D24)&gt;0, "NEW FINDING", IF(COUNTIFS('[1]20 September New Socket'!E:E,$D24)&gt;0,"PREVOUS REPORT","N/A"))</f>
        <v>N/A</v>
      </c>
    </row>
    <row r="25" spans="1:6" x14ac:dyDescent="0.2">
      <c r="B25" s="2" t="s">
        <v>25</v>
      </c>
      <c r="C25" s="3" t="str">
        <f t="shared" si="0"/>
        <v>@alaan</v>
      </c>
      <c r="D25" s="3" t="str">
        <f t="shared" si="1"/>
        <v>s2s-auth</v>
      </c>
      <c r="E25" s="3" t="str">
        <f t="shared" si="2"/>
        <v>v2.0.3</v>
      </c>
      <c r="F25" t="str">
        <f>IF(COUNTIFS('[1]25 November'!$E:$E,$D25)&gt;0, "NEW FINDING", IF(COUNTIFS('[1]20 September New Socket'!E:E,$D25)&gt;0,"PREVOUS REPORT","N/A"))</f>
        <v>N/A</v>
      </c>
    </row>
    <row r="26" spans="1:6" x14ac:dyDescent="0.2">
      <c r="B26" s="2" t="s">
        <v>26</v>
      </c>
      <c r="C26" s="3" t="str">
        <f t="shared" si="0"/>
        <v>@alexadark</v>
      </c>
      <c r="D26" s="3" t="str">
        <f t="shared" si="1"/>
        <v>amadeus-api</v>
      </c>
      <c r="E26" s="3" t="str">
        <f t="shared" si="2"/>
        <v>v1.0.4</v>
      </c>
      <c r="F26" t="str">
        <f>IF(COUNTIFS('[1]25 November'!$E:$E,$D26)&gt;0, "NEW FINDING", IF(COUNTIFS('[1]20 September New Socket'!E:E,$D26)&gt;0,"PREVOUS REPORT","N/A"))</f>
        <v>N/A</v>
      </c>
    </row>
    <row r="27" spans="1:6" x14ac:dyDescent="0.2">
      <c r="B27" s="2" t="s">
        <v>27</v>
      </c>
      <c r="C27" s="3" t="str">
        <f t="shared" si="0"/>
        <v>@alexadark</v>
      </c>
      <c r="D27" s="3" t="str">
        <f t="shared" si="1"/>
        <v>gatsby-theme-events</v>
      </c>
      <c r="E27" s="3" t="str">
        <f t="shared" si="2"/>
        <v>v1.0.1</v>
      </c>
      <c r="F27" t="str">
        <f>IF(COUNTIFS('[1]25 November'!$E:$E,$D27)&gt;0, "NEW FINDING", IF(COUNTIFS('[1]20 September New Socket'!E:E,$D27)&gt;0,"PREVOUS REPORT","N/A"))</f>
        <v>N/A</v>
      </c>
    </row>
    <row r="28" spans="1:6" x14ac:dyDescent="0.2">
      <c r="B28" s="2" t="s">
        <v>28</v>
      </c>
      <c r="C28" s="3" t="str">
        <f t="shared" si="0"/>
        <v>@alexadark</v>
      </c>
      <c r="D28" s="3" t="str">
        <f t="shared" si="1"/>
        <v>gatsby-theme-wordpress-blog</v>
      </c>
      <c r="E28" s="3" t="str">
        <f t="shared" si="2"/>
        <v>v2.0.1</v>
      </c>
      <c r="F28" t="str">
        <f>IF(COUNTIFS('[1]25 November'!$E:$E,$D28)&gt;0, "NEW FINDING", IF(COUNTIFS('[1]20 September New Socket'!E:E,$D28)&gt;0,"PREVOUS REPORT","N/A"))</f>
        <v>N/A</v>
      </c>
    </row>
    <row r="29" spans="1:6" x14ac:dyDescent="0.2">
      <c r="B29" s="2" t="s">
        <v>29</v>
      </c>
      <c r="C29" s="3" t="str">
        <f t="shared" si="0"/>
        <v>@alexadark</v>
      </c>
      <c r="D29" s="3" t="str">
        <f t="shared" si="1"/>
        <v>reusable-functions</v>
      </c>
      <c r="E29" s="3" t="str">
        <f t="shared" si="2"/>
        <v>v1.5.1</v>
      </c>
      <c r="F29" t="str">
        <f>IF(COUNTIFS('[1]25 November'!$E:$E,$D29)&gt;0, "NEW FINDING", IF(COUNTIFS('[1]20 September New Socket'!E:E,$D29)&gt;0,"PREVOUS REPORT","N/A"))</f>
        <v>N/A</v>
      </c>
    </row>
    <row r="30" spans="1:6" x14ac:dyDescent="0.2">
      <c r="A30" s="1">
        <v>45986</v>
      </c>
      <c r="B30" s="2" t="s">
        <v>30</v>
      </c>
      <c r="C30" s="3" t="str">
        <f t="shared" si="0"/>
        <v>@antstackio</v>
      </c>
      <c r="D30" s="3" t="str">
        <f t="shared" si="1"/>
        <v>eslint-config-antstack</v>
      </c>
      <c r="E30" s="3" t="str">
        <f t="shared" si="2"/>
        <v>v0.0.3</v>
      </c>
      <c r="F30" t="str">
        <f>IF(COUNTIFS('[1]25 November'!$E:$E,$D30)&gt;0, "NEW FINDING", IF(COUNTIFS('[1]20 September New Socket'!E:E,$D30)&gt;0,"PREVOUS REPORT","N/A"))</f>
        <v>NEW FINDING</v>
      </c>
    </row>
    <row r="31" spans="1:6" x14ac:dyDescent="0.2">
      <c r="A31" s="1">
        <v>45986</v>
      </c>
      <c r="B31" s="2" t="s">
        <v>31</v>
      </c>
      <c r="C31" s="3" t="str">
        <f t="shared" si="0"/>
        <v>@antstackio</v>
      </c>
      <c r="D31" s="3" t="str">
        <f t="shared" si="1"/>
        <v>express-graphql-proxy</v>
      </c>
      <c r="E31" s="3" t="str">
        <f t="shared" si="2"/>
        <v>v0.2.8</v>
      </c>
      <c r="F31" t="str">
        <f>IF(COUNTIFS('[1]25 November'!$E:$E,$D31)&gt;0, "NEW FINDING", IF(COUNTIFS('[1]20 September New Socket'!E:E,$D31)&gt;0,"PREVOUS REPORT","N/A"))</f>
        <v>NEW FINDING</v>
      </c>
    </row>
    <row r="32" spans="1:6" x14ac:dyDescent="0.2">
      <c r="B32" s="2" t="s">
        <v>32</v>
      </c>
      <c r="C32" s="3" t="str">
        <f t="shared" si="0"/>
        <v>@antstackio</v>
      </c>
      <c r="D32" s="3" t="str">
        <f t="shared" si="1"/>
        <v>graphql-body-parser</v>
      </c>
      <c r="E32" s="3" t="str">
        <f t="shared" si="2"/>
        <v>v0.1.1</v>
      </c>
      <c r="F32" t="str">
        <f>IF(COUNTIFS('[1]25 November'!$E:$E,$D32)&gt;0, "NEW FINDING", IF(COUNTIFS('[1]20 September New Socket'!E:E,$D32)&gt;0,"PREVOUS REPORT","N/A"))</f>
        <v>N/A</v>
      </c>
    </row>
    <row r="33" spans="1:6" x14ac:dyDescent="0.2">
      <c r="A33" s="1">
        <v>45986</v>
      </c>
      <c r="B33" s="2" t="s">
        <v>33</v>
      </c>
      <c r="C33" s="3" t="str">
        <f t="shared" si="0"/>
        <v>@antstackio</v>
      </c>
      <c r="D33" s="3" t="str">
        <f t="shared" si="1"/>
        <v>json-to-graphql</v>
      </c>
      <c r="E33" s="3" t="str">
        <f t="shared" si="2"/>
        <v>v1.0.3</v>
      </c>
      <c r="F33" t="str">
        <f>IF(COUNTIFS('[1]25 November'!$E:$E,$D33)&gt;0, "NEW FINDING", IF(COUNTIFS('[1]20 September New Socket'!E:E,$D33)&gt;0,"PREVOUS REPORT","N/A"))</f>
        <v>NEW FINDING</v>
      </c>
    </row>
    <row r="34" spans="1:6" x14ac:dyDescent="0.2">
      <c r="B34" s="2" t="s">
        <v>34</v>
      </c>
      <c r="C34" s="3" t="str">
        <f t="shared" si="0"/>
        <v>@antstackio</v>
      </c>
      <c r="D34" s="3" t="str">
        <f t="shared" si="1"/>
        <v>shelbysam</v>
      </c>
      <c r="E34" s="3" t="str">
        <f t="shared" si="2"/>
        <v>v1.1.7</v>
      </c>
      <c r="F34" t="str">
        <f>IF(COUNTIFS('[1]25 November'!$E:$E,$D34)&gt;0, "NEW FINDING", IF(COUNTIFS('[1]20 September New Socket'!E:E,$D34)&gt;0,"PREVOUS REPORT","N/A"))</f>
        <v>N/A</v>
      </c>
    </row>
    <row r="35" spans="1:6" x14ac:dyDescent="0.2">
      <c r="A35" s="1">
        <v>45986</v>
      </c>
      <c r="B35" s="2" t="s">
        <v>35</v>
      </c>
      <c r="C35" s="3" t="str">
        <f t="shared" si="0"/>
        <v>@aryanhussain</v>
      </c>
      <c r="D35" s="3" t="str">
        <f t="shared" si="1"/>
        <v>my-angular-lib</v>
      </c>
      <c r="E35" s="3" t="str">
        <f t="shared" si="2"/>
        <v>v0.0.23</v>
      </c>
      <c r="F35" t="str">
        <f>IF(COUNTIFS('[1]25 November'!$E:$E,$D35)&gt;0, "NEW FINDING", IF(COUNTIFS('[1]20 September New Socket'!E:E,$D35)&gt;0,"PREVOUS REPORT","N/A"))</f>
        <v>NEW FINDING</v>
      </c>
    </row>
    <row r="36" spans="1:6" x14ac:dyDescent="0.2">
      <c r="A36" s="1">
        <v>45986</v>
      </c>
      <c r="B36" s="2" t="s">
        <v>36</v>
      </c>
      <c r="C36" s="3" t="str">
        <f t="shared" si="0"/>
        <v>@asyncapi</v>
      </c>
      <c r="D36" s="3" t="str">
        <f t="shared" si="1"/>
        <v>avro-schema-parser</v>
      </c>
      <c r="E36" s="3" t="str">
        <f t="shared" si="2"/>
        <v>v3.0.25</v>
      </c>
      <c r="F36" t="str">
        <f>IF(COUNTIFS('[1]25 November'!$E:$E,$D36)&gt;0, "NEW FINDING", IF(COUNTIFS('[1]20 September New Socket'!E:E,$D36)&gt;0,"PREVOUS REPORT","N/A"))</f>
        <v>NEW FINDING</v>
      </c>
    </row>
    <row r="37" spans="1:6" x14ac:dyDescent="0.2">
      <c r="A37" s="1">
        <v>45986</v>
      </c>
      <c r="B37" s="2" t="s">
        <v>37</v>
      </c>
      <c r="C37" s="3" t="str">
        <f t="shared" si="0"/>
        <v>@asyncapi</v>
      </c>
      <c r="D37" s="3" t="str">
        <f t="shared" si="1"/>
        <v>avro-schema-parser</v>
      </c>
      <c r="E37" s="3" t="str">
        <f t="shared" si="2"/>
        <v>v3.0.26</v>
      </c>
      <c r="F37" t="str">
        <f>IF(COUNTIFS('[1]25 November'!$E:$E,$D37)&gt;0, "NEW FINDING", IF(COUNTIFS('[1]20 September New Socket'!E:E,$D37)&gt;0,"PREVOUS REPORT","N/A"))</f>
        <v>NEW FINDING</v>
      </c>
    </row>
    <row r="38" spans="1:6" x14ac:dyDescent="0.2">
      <c r="A38" s="1">
        <v>45986</v>
      </c>
      <c r="B38" s="2" t="s">
        <v>38</v>
      </c>
      <c r="C38" s="3" t="str">
        <f t="shared" si="0"/>
        <v>@asyncapi</v>
      </c>
      <c r="D38" s="3" t="str">
        <f t="shared" si="1"/>
        <v>bundler</v>
      </c>
      <c r="E38" s="3" t="str">
        <f t="shared" si="2"/>
        <v>v0.6.6</v>
      </c>
      <c r="F38" t="str">
        <f>IF(COUNTIFS('[1]25 November'!$E:$E,$D38)&gt;0, "NEW FINDING", IF(COUNTIFS('[1]20 September New Socket'!E:E,$D38)&gt;0,"PREVOUS REPORT","N/A"))</f>
        <v>NEW FINDING</v>
      </c>
    </row>
    <row r="39" spans="1:6" x14ac:dyDescent="0.2">
      <c r="A39" s="1">
        <v>45986</v>
      </c>
      <c r="B39" s="2" t="s">
        <v>39</v>
      </c>
      <c r="C39" s="3" t="str">
        <f t="shared" si="0"/>
        <v>@asyncapi</v>
      </c>
      <c r="D39" s="3" t="str">
        <f t="shared" si="1"/>
        <v>cli</v>
      </c>
      <c r="E39" s="3" t="str">
        <f t="shared" si="2"/>
        <v>v4.1.2</v>
      </c>
      <c r="F39" t="str">
        <f>IF(COUNTIFS('[1]25 November'!$E:$E,$D39)&gt;0, "NEW FINDING", IF(COUNTIFS('[1]20 September New Socket'!E:E,$D39)&gt;0,"PREVOUS REPORT","N/A"))</f>
        <v>NEW FINDING</v>
      </c>
    </row>
    <row r="40" spans="1:6" x14ac:dyDescent="0.2">
      <c r="A40" s="1">
        <v>45986</v>
      </c>
      <c r="B40" s="2" t="s">
        <v>40</v>
      </c>
      <c r="C40" s="3" t="str">
        <f t="shared" si="0"/>
        <v>@asyncapi</v>
      </c>
      <c r="D40" s="3" t="str">
        <f t="shared" si="1"/>
        <v>cli</v>
      </c>
      <c r="E40" s="3" t="str">
        <f t="shared" si="2"/>
        <v>v4.1.3</v>
      </c>
      <c r="F40" t="str">
        <f>IF(COUNTIFS('[1]25 November'!$E:$E,$D40)&gt;0, "NEW FINDING", IF(COUNTIFS('[1]20 September New Socket'!E:E,$D40)&gt;0,"PREVOUS REPORT","N/A"))</f>
        <v>NEW FINDING</v>
      </c>
    </row>
    <row r="41" spans="1:6" x14ac:dyDescent="0.2">
      <c r="A41" s="1">
        <v>45986</v>
      </c>
      <c r="B41" s="2" t="s">
        <v>41</v>
      </c>
      <c r="C41" s="3" t="str">
        <f t="shared" si="0"/>
        <v>@asyncapi</v>
      </c>
      <c r="D41" s="3" t="str">
        <f t="shared" si="1"/>
        <v>converter</v>
      </c>
      <c r="E41" s="3" t="str">
        <f t="shared" si="2"/>
        <v>v1.6.3</v>
      </c>
      <c r="F41" t="str">
        <f>IF(COUNTIFS('[1]25 November'!$E:$E,$D41)&gt;0, "NEW FINDING", IF(COUNTIFS('[1]20 September New Socket'!E:E,$D41)&gt;0,"PREVOUS REPORT","N/A"))</f>
        <v>NEW FINDING</v>
      </c>
    </row>
    <row r="42" spans="1:6" x14ac:dyDescent="0.2">
      <c r="A42" s="1">
        <v>45986</v>
      </c>
      <c r="B42" s="2" t="s">
        <v>42</v>
      </c>
      <c r="C42" s="3" t="str">
        <f t="shared" si="0"/>
        <v>@asyncapi</v>
      </c>
      <c r="D42" s="3" t="str">
        <f t="shared" si="1"/>
        <v>converter</v>
      </c>
      <c r="E42" s="3" t="str">
        <f t="shared" si="2"/>
        <v>v1.6.4</v>
      </c>
      <c r="F42" t="str">
        <f>IF(COUNTIFS('[1]25 November'!$E:$E,$D42)&gt;0, "NEW FINDING", IF(COUNTIFS('[1]20 September New Socket'!E:E,$D42)&gt;0,"PREVOUS REPORT","N/A"))</f>
        <v>NEW FINDING</v>
      </c>
    </row>
    <row r="43" spans="1:6" x14ac:dyDescent="0.2">
      <c r="A43" s="1">
        <v>45986</v>
      </c>
      <c r="B43" s="2" t="s">
        <v>43</v>
      </c>
      <c r="C43" s="3" t="str">
        <f t="shared" si="0"/>
        <v>@asyncapi</v>
      </c>
      <c r="D43" s="3" t="str">
        <f t="shared" si="1"/>
        <v>diff</v>
      </c>
      <c r="E43" s="3" t="str">
        <f t="shared" si="2"/>
        <v>v0.5.1</v>
      </c>
      <c r="F43" t="str">
        <f>IF(COUNTIFS('[1]25 November'!$E:$E,$D43)&gt;0, "NEW FINDING", IF(COUNTIFS('[1]20 September New Socket'!E:E,$D43)&gt;0,"PREVOUS REPORT","N/A"))</f>
        <v>NEW FINDING</v>
      </c>
    </row>
    <row r="44" spans="1:6" x14ac:dyDescent="0.2">
      <c r="A44" s="1">
        <v>45986</v>
      </c>
      <c r="B44" s="2" t="s">
        <v>44</v>
      </c>
      <c r="C44" s="3" t="str">
        <f t="shared" si="0"/>
        <v>@asyncapi</v>
      </c>
      <c r="D44" s="3" t="str">
        <f t="shared" si="1"/>
        <v>diff</v>
      </c>
      <c r="E44" s="3" t="str">
        <f t="shared" si="2"/>
        <v>v0.5.2</v>
      </c>
      <c r="F44" t="str">
        <f>IF(COUNTIFS('[1]25 November'!$E:$E,$D44)&gt;0, "NEW FINDING", IF(COUNTIFS('[1]20 September New Socket'!E:E,$D44)&gt;0,"PREVOUS REPORT","N/A"))</f>
        <v>NEW FINDING</v>
      </c>
    </row>
    <row r="45" spans="1:6" x14ac:dyDescent="0.2">
      <c r="A45" s="1">
        <v>45986</v>
      </c>
      <c r="B45" s="2" t="s">
        <v>45</v>
      </c>
      <c r="C45" s="3" t="str">
        <f t="shared" si="0"/>
        <v>@asyncapi</v>
      </c>
      <c r="D45" s="3" t="str">
        <f t="shared" si="1"/>
        <v>dotnet-rabbitmq-template</v>
      </c>
      <c r="E45" s="3" t="str">
        <f t="shared" si="2"/>
        <v>v1.0.1</v>
      </c>
      <c r="F45" t="str">
        <f>IF(COUNTIFS('[1]25 November'!$E:$E,$D45)&gt;0, "NEW FINDING", IF(COUNTIFS('[1]20 September New Socket'!E:E,$D45)&gt;0,"PREVOUS REPORT","N/A"))</f>
        <v>NEW FINDING</v>
      </c>
    </row>
    <row r="46" spans="1:6" x14ac:dyDescent="0.2">
      <c r="A46" s="1">
        <v>45986</v>
      </c>
      <c r="B46" s="2" t="s">
        <v>46</v>
      </c>
      <c r="C46" s="3" t="str">
        <f t="shared" si="0"/>
        <v>@asyncapi</v>
      </c>
      <c r="D46" s="3" t="str">
        <f t="shared" si="1"/>
        <v>dotnet-rabbitmq-template</v>
      </c>
      <c r="E46" s="3" t="str">
        <f t="shared" si="2"/>
        <v>v1.0.2</v>
      </c>
      <c r="F46" t="str">
        <f>IF(COUNTIFS('[1]25 November'!$E:$E,$D46)&gt;0, "NEW FINDING", IF(COUNTIFS('[1]20 September New Socket'!E:E,$D46)&gt;0,"PREVOUS REPORT","N/A"))</f>
        <v>NEW FINDING</v>
      </c>
    </row>
    <row r="47" spans="1:6" x14ac:dyDescent="0.2">
      <c r="A47" s="1">
        <v>45986</v>
      </c>
      <c r="B47" s="2" t="s">
        <v>47</v>
      </c>
      <c r="C47" s="3" t="str">
        <f t="shared" si="0"/>
        <v>@asyncapi</v>
      </c>
      <c r="D47" s="3" t="str">
        <f t="shared" si="1"/>
        <v>edavisualiser</v>
      </c>
      <c r="E47" s="3" t="str">
        <f t="shared" si="2"/>
        <v>v1.2.1</v>
      </c>
      <c r="F47" t="str">
        <f>IF(COUNTIFS('[1]25 November'!$E:$E,$D47)&gt;0, "NEW FINDING", IF(COUNTIFS('[1]20 September New Socket'!E:E,$D47)&gt;0,"PREVOUS REPORT","N/A"))</f>
        <v>NEW FINDING</v>
      </c>
    </row>
    <row r="48" spans="1:6" x14ac:dyDescent="0.2">
      <c r="A48" s="1">
        <v>45986</v>
      </c>
      <c r="B48" s="2" t="s">
        <v>48</v>
      </c>
      <c r="C48" s="3" t="str">
        <f t="shared" si="0"/>
        <v>@asyncapi</v>
      </c>
      <c r="D48" s="3" t="str">
        <f t="shared" si="1"/>
        <v>edavisualiser</v>
      </c>
      <c r="E48" s="3" t="str">
        <f t="shared" si="2"/>
        <v>v1.2.2</v>
      </c>
      <c r="F48" t="str">
        <f>IF(COUNTIFS('[1]25 November'!$E:$E,$D48)&gt;0, "NEW FINDING", IF(COUNTIFS('[1]20 September New Socket'!E:E,$D48)&gt;0,"PREVOUS REPORT","N/A"))</f>
        <v>NEW FINDING</v>
      </c>
    </row>
    <row r="49" spans="1:6" x14ac:dyDescent="0.2">
      <c r="A49" s="1">
        <v>45986</v>
      </c>
      <c r="B49" s="2" t="s">
        <v>49</v>
      </c>
      <c r="C49" s="3" t="str">
        <f t="shared" si="0"/>
        <v>@asyncapi</v>
      </c>
      <c r="D49" s="3" t="str">
        <f t="shared" si="1"/>
        <v>generator</v>
      </c>
      <c r="E49" s="3" t="str">
        <f t="shared" si="2"/>
        <v>v2.8.5</v>
      </c>
      <c r="F49" t="str">
        <f>IF(COUNTIFS('[1]25 November'!$E:$E,$D49)&gt;0, "NEW FINDING", IF(COUNTIFS('[1]20 September New Socket'!E:E,$D49)&gt;0,"PREVOUS REPORT","N/A"))</f>
        <v>NEW FINDING</v>
      </c>
    </row>
    <row r="50" spans="1:6" x14ac:dyDescent="0.2">
      <c r="A50" s="1">
        <v>45986</v>
      </c>
      <c r="B50" s="2" t="s">
        <v>50</v>
      </c>
      <c r="C50" s="3" t="str">
        <f t="shared" si="0"/>
        <v>@asyncapi</v>
      </c>
      <c r="D50" s="3" t="str">
        <f t="shared" si="1"/>
        <v>generator</v>
      </c>
      <c r="E50" s="3" t="str">
        <f t="shared" si="2"/>
        <v>v2.8.6</v>
      </c>
      <c r="F50" t="str">
        <f>IF(COUNTIFS('[1]25 November'!$E:$E,$D50)&gt;0, "NEW FINDING", IF(COUNTIFS('[1]20 September New Socket'!E:E,$D50)&gt;0,"PREVOUS REPORT","N/A"))</f>
        <v>NEW FINDING</v>
      </c>
    </row>
    <row r="51" spans="1:6" x14ac:dyDescent="0.2">
      <c r="A51" s="1">
        <v>45986</v>
      </c>
      <c r="B51" s="2" t="s">
        <v>51</v>
      </c>
      <c r="C51" s="3" t="str">
        <f t="shared" si="0"/>
        <v>@asyncapi</v>
      </c>
      <c r="D51" s="3" t="str">
        <f t="shared" si="1"/>
        <v>generator-components</v>
      </c>
      <c r="E51" s="3" t="str">
        <f t="shared" si="2"/>
        <v>v0.3.2</v>
      </c>
      <c r="F51" t="str">
        <f>IF(COUNTIFS('[1]25 November'!$E:$E,$D51)&gt;0, "NEW FINDING", IF(COUNTIFS('[1]20 September New Socket'!E:E,$D51)&gt;0,"PREVOUS REPORT","N/A"))</f>
        <v>NEW FINDING</v>
      </c>
    </row>
    <row r="52" spans="1:6" x14ac:dyDescent="0.2">
      <c r="A52" s="1">
        <v>45986</v>
      </c>
      <c r="B52" s="2" t="s">
        <v>52</v>
      </c>
      <c r="C52" s="3" t="str">
        <f t="shared" si="0"/>
        <v>@asyncapi</v>
      </c>
      <c r="D52" s="3" t="str">
        <f t="shared" si="1"/>
        <v>generator-components</v>
      </c>
      <c r="E52" s="3" t="str">
        <f t="shared" si="2"/>
        <v>v0.3.3</v>
      </c>
      <c r="F52" t="str">
        <f>IF(COUNTIFS('[1]25 November'!$E:$E,$D52)&gt;0, "NEW FINDING", IF(COUNTIFS('[1]20 September New Socket'!E:E,$D52)&gt;0,"PREVOUS REPORT","N/A"))</f>
        <v>NEW FINDING</v>
      </c>
    </row>
    <row r="53" spans="1:6" x14ac:dyDescent="0.2">
      <c r="A53" s="1">
        <v>45986</v>
      </c>
      <c r="B53" s="2" t="s">
        <v>53</v>
      </c>
      <c r="C53" s="3" t="str">
        <f t="shared" si="0"/>
        <v>@asyncapi</v>
      </c>
      <c r="D53" s="3" t="str">
        <f t="shared" si="1"/>
        <v>generator-helpers</v>
      </c>
      <c r="E53" s="3" t="str">
        <f t="shared" si="2"/>
        <v>v0.2.1</v>
      </c>
      <c r="F53" t="str">
        <f>IF(COUNTIFS('[1]25 November'!$E:$E,$D53)&gt;0, "NEW FINDING", IF(COUNTIFS('[1]20 September New Socket'!E:E,$D53)&gt;0,"PREVOUS REPORT","N/A"))</f>
        <v>NEW FINDING</v>
      </c>
    </row>
    <row r="54" spans="1:6" x14ac:dyDescent="0.2">
      <c r="A54" s="1">
        <v>45986</v>
      </c>
      <c r="B54" s="2" t="s">
        <v>54</v>
      </c>
      <c r="C54" s="3" t="str">
        <f t="shared" si="0"/>
        <v>@asyncapi</v>
      </c>
      <c r="D54" s="3" t="str">
        <f t="shared" si="1"/>
        <v>generator-helpers</v>
      </c>
      <c r="E54" s="3" t="str">
        <f t="shared" si="2"/>
        <v>v0.2.2</v>
      </c>
      <c r="F54" t="str">
        <f>IF(COUNTIFS('[1]25 November'!$E:$E,$D54)&gt;0, "NEW FINDING", IF(COUNTIFS('[1]20 September New Socket'!E:E,$D54)&gt;0,"PREVOUS REPORT","N/A"))</f>
        <v>NEW FINDING</v>
      </c>
    </row>
    <row r="55" spans="1:6" x14ac:dyDescent="0.2">
      <c r="A55" s="1">
        <v>45986</v>
      </c>
      <c r="B55" s="2" t="s">
        <v>55</v>
      </c>
      <c r="C55" s="3" t="str">
        <f t="shared" si="0"/>
        <v>@asyncapi</v>
      </c>
      <c r="D55" s="3" t="str">
        <f t="shared" si="1"/>
        <v>generator-react-sdk</v>
      </c>
      <c r="E55" s="3" t="str">
        <f t="shared" si="2"/>
        <v>v1.1.4</v>
      </c>
      <c r="F55" t="str">
        <f>IF(COUNTIFS('[1]25 November'!$E:$E,$D55)&gt;0, "NEW FINDING", IF(COUNTIFS('[1]20 September New Socket'!E:E,$D55)&gt;0,"PREVOUS REPORT","N/A"))</f>
        <v>NEW FINDING</v>
      </c>
    </row>
    <row r="56" spans="1:6" x14ac:dyDescent="0.2">
      <c r="A56" s="1">
        <v>45986</v>
      </c>
      <c r="B56" s="2" t="s">
        <v>56</v>
      </c>
      <c r="C56" s="3" t="str">
        <f t="shared" si="0"/>
        <v>@asyncapi</v>
      </c>
      <c r="D56" s="3" t="str">
        <f t="shared" si="1"/>
        <v>generator-react-sdk</v>
      </c>
      <c r="E56" s="3" t="str">
        <f t="shared" si="2"/>
        <v>v1.1.5</v>
      </c>
      <c r="F56" t="str">
        <f>IF(COUNTIFS('[1]25 November'!$E:$E,$D56)&gt;0, "NEW FINDING", IF(COUNTIFS('[1]20 September New Socket'!E:E,$D56)&gt;0,"PREVOUS REPORT","N/A"))</f>
        <v>NEW FINDING</v>
      </c>
    </row>
    <row r="57" spans="1:6" x14ac:dyDescent="0.2">
      <c r="A57" s="1">
        <v>45986</v>
      </c>
      <c r="B57" s="2" t="s">
        <v>57</v>
      </c>
      <c r="C57" s="3" t="str">
        <f t="shared" si="0"/>
        <v>@asyncapi</v>
      </c>
      <c r="D57" s="3" t="str">
        <f t="shared" si="1"/>
        <v>go-watermill-template</v>
      </c>
      <c r="E57" s="3" t="str">
        <f t="shared" si="2"/>
        <v>v0.2.76</v>
      </c>
      <c r="F57" t="str">
        <f>IF(COUNTIFS('[1]25 November'!$E:$E,$D57)&gt;0, "NEW FINDING", IF(COUNTIFS('[1]20 September New Socket'!E:E,$D57)&gt;0,"PREVOUS REPORT","N/A"))</f>
        <v>NEW FINDING</v>
      </c>
    </row>
    <row r="58" spans="1:6" x14ac:dyDescent="0.2">
      <c r="A58" s="1">
        <v>45986</v>
      </c>
      <c r="B58" s="2" t="s">
        <v>58</v>
      </c>
      <c r="C58" s="3" t="str">
        <f t="shared" si="0"/>
        <v>@asyncapi</v>
      </c>
      <c r="D58" s="3" t="str">
        <f t="shared" si="1"/>
        <v>go-watermill-template</v>
      </c>
      <c r="E58" s="3" t="str">
        <f t="shared" si="2"/>
        <v>v0.2.77</v>
      </c>
      <c r="F58" t="str">
        <f>IF(COUNTIFS('[1]25 November'!$E:$E,$D58)&gt;0, "NEW FINDING", IF(COUNTIFS('[1]20 September New Socket'!E:E,$D58)&gt;0,"PREVOUS REPORT","N/A"))</f>
        <v>NEW FINDING</v>
      </c>
    </row>
    <row r="59" spans="1:6" x14ac:dyDescent="0.2">
      <c r="A59" s="1">
        <v>45986</v>
      </c>
      <c r="B59" s="2" t="s">
        <v>59</v>
      </c>
      <c r="C59" s="3" t="str">
        <f t="shared" si="0"/>
        <v>@asyncapi</v>
      </c>
      <c r="D59" s="3" t="str">
        <f t="shared" si="1"/>
        <v>html-template</v>
      </c>
      <c r="E59" s="3" t="str">
        <f t="shared" si="2"/>
        <v>v3.3.2</v>
      </c>
      <c r="F59" t="str">
        <f>IF(COUNTIFS('[1]25 November'!$E:$E,$D59)&gt;0, "NEW FINDING", IF(COUNTIFS('[1]20 September New Socket'!E:E,$D59)&gt;0,"PREVOUS REPORT","N/A"))</f>
        <v>NEW FINDING</v>
      </c>
    </row>
    <row r="60" spans="1:6" x14ac:dyDescent="0.2">
      <c r="A60" s="1">
        <v>45986</v>
      </c>
      <c r="B60" s="2" t="s">
        <v>60</v>
      </c>
      <c r="C60" s="3" t="str">
        <f t="shared" si="0"/>
        <v>@asyncapi</v>
      </c>
      <c r="D60" s="3" t="str">
        <f t="shared" si="1"/>
        <v>html-template</v>
      </c>
      <c r="E60" s="3" t="str">
        <f t="shared" si="2"/>
        <v>v3.3.3</v>
      </c>
      <c r="F60" t="str">
        <f>IF(COUNTIFS('[1]25 November'!$E:$E,$D60)&gt;0, "NEW FINDING", IF(COUNTIFS('[1]20 September New Socket'!E:E,$D60)&gt;0,"PREVOUS REPORT","N/A"))</f>
        <v>NEW FINDING</v>
      </c>
    </row>
    <row r="61" spans="1:6" x14ac:dyDescent="0.2">
      <c r="A61" s="1">
        <v>45986</v>
      </c>
      <c r="B61" s="2" t="s">
        <v>61</v>
      </c>
      <c r="C61" s="3" t="str">
        <f t="shared" si="0"/>
        <v>@asyncapi</v>
      </c>
      <c r="D61" s="3" t="str">
        <f t="shared" si="1"/>
        <v>java-spring-cloud-stream-template</v>
      </c>
      <c r="E61" s="3" t="str">
        <f t="shared" si="2"/>
        <v>v0.13.5</v>
      </c>
      <c r="F61" t="str">
        <f>IF(COUNTIFS('[1]25 November'!$E:$E,$D61)&gt;0, "NEW FINDING", IF(COUNTIFS('[1]20 September New Socket'!E:E,$D61)&gt;0,"PREVOUS REPORT","N/A"))</f>
        <v>NEW FINDING</v>
      </c>
    </row>
    <row r="62" spans="1:6" x14ac:dyDescent="0.2">
      <c r="A62" s="1">
        <v>45986</v>
      </c>
      <c r="B62" s="2" t="s">
        <v>62</v>
      </c>
      <c r="C62" s="3" t="str">
        <f t="shared" si="0"/>
        <v>@asyncapi</v>
      </c>
      <c r="D62" s="3" t="str">
        <f t="shared" si="1"/>
        <v>java-spring-cloud-stream-template</v>
      </c>
      <c r="E62" s="3" t="str">
        <f t="shared" si="2"/>
        <v>v0.13.6</v>
      </c>
      <c r="F62" t="str">
        <f>IF(COUNTIFS('[1]25 November'!$E:$E,$D62)&gt;0, "NEW FINDING", IF(COUNTIFS('[1]20 September New Socket'!E:E,$D62)&gt;0,"PREVOUS REPORT","N/A"))</f>
        <v>NEW FINDING</v>
      </c>
    </row>
    <row r="63" spans="1:6" x14ac:dyDescent="0.2">
      <c r="A63" s="1">
        <v>45986</v>
      </c>
      <c r="B63" s="2" t="s">
        <v>63</v>
      </c>
      <c r="C63" s="3" t="str">
        <f t="shared" si="0"/>
        <v>@asyncapi</v>
      </c>
      <c r="D63" s="3" t="str">
        <f t="shared" si="1"/>
        <v>java-spring-template</v>
      </c>
      <c r="E63" s="3" t="str">
        <f t="shared" si="2"/>
        <v>v1.6.1</v>
      </c>
      <c r="F63" t="str">
        <f>IF(COUNTIFS('[1]25 November'!$E:$E,$D63)&gt;0, "NEW FINDING", IF(COUNTIFS('[1]20 September New Socket'!E:E,$D63)&gt;0,"PREVOUS REPORT","N/A"))</f>
        <v>NEW FINDING</v>
      </c>
    </row>
    <row r="64" spans="1:6" x14ac:dyDescent="0.2">
      <c r="A64" s="1">
        <v>45986</v>
      </c>
      <c r="B64" s="2" t="s">
        <v>64</v>
      </c>
      <c r="C64" s="3" t="str">
        <f t="shared" si="0"/>
        <v>@asyncapi</v>
      </c>
      <c r="D64" s="3" t="str">
        <f t="shared" si="1"/>
        <v>java-spring-template</v>
      </c>
      <c r="E64" s="3" t="str">
        <f t="shared" si="2"/>
        <v>v1.6.2</v>
      </c>
      <c r="F64" t="str">
        <f>IF(COUNTIFS('[1]25 November'!$E:$E,$D64)&gt;0, "NEW FINDING", IF(COUNTIFS('[1]20 September New Socket'!E:E,$D64)&gt;0,"PREVOUS REPORT","N/A"))</f>
        <v>NEW FINDING</v>
      </c>
    </row>
    <row r="65" spans="1:6" x14ac:dyDescent="0.2">
      <c r="A65" s="1">
        <v>45986</v>
      </c>
      <c r="B65" s="2" t="s">
        <v>65</v>
      </c>
      <c r="C65" s="3" t="str">
        <f t="shared" ref="C65:C128" si="3">IF(LEFT(B65,1)="@",LEFT(B65,FIND("/",B65)-1),"")</f>
        <v>@asyncapi</v>
      </c>
      <c r="D65" s="3" t="str">
        <f t="shared" ref="D65:D128" si="4">IF(LEFT(B65,1)="@",
    MID(
        B65,
        FIND("/",B65)+1,
        IFERROR(
            FIND("@",B65,FIND("/",B65)+1) - FIND("/",B65) - 1,
            LEN(B65) - FIND("/",B65)
        )
    ),
    IFERROR(LEFT(B65,FIND("@",B65)-1), B65)
)</f>
        <v>java-template</v>
      </c>
      <c r="E65" s="3" t="str">
        <f t="shared" ref="E65:E128" si="5">RIGHT(B65,LEN(B65)-FIND("@",B65,LEN(B65)-LEN(SUBSTITUTE(B65,"@",""))+1))</f>
        <v>v0.3.5</v>
      </c>
      <c r="F65" t="str">
        <f>IF(COUNTIFS('[1]25 November'!$E:$E,$D65)&gt;0, "NEW FINDING", IF(COUNTIFS('[1]20 September New Socket'!E:E,$D65)&gt;0,"PREVOUS REPORT","N/A"))</f>
        <v>NEW FINDING</v>
      </c>
    </row>
    <row r="66" spans="1:6" x14ac:dyDescent="0.2">
      <c r="A66" s="1">
        <v>45986</v>
      </c>
      <c r="B66" s="2" t="s">
        <v>66</v>
      </c>
      <c r="C66" s="3" t="str">
        <f t="shared" si="3"/>
        <v>@asyncapi</v>
      </c>
      <c r="D66" s="3" t="str">
        <f t="shared" si="4"/>
        <v>java-template</v>
      </c>
      <c r="E66" s="3" t="str">
        <f t="shared" si="5"/>
        <v>v0.3.6</v>
      </c>
      <c r="F66" t="str">
        <f>IF(COUNTIFS('[1]25 November'!$E:$E,$D66)&gt;0, "NEW FINDING", IF(COUNTIFS('[1]20 September New Socket'!E:E,$D66)&gt;0,"PREVOUS REPORT","N/A"))</f>
        <v>NEW FINDING</v>
      </c>
    </row>
    <row r="67" spans="1:6" x14ac:dyDescent="0.2">
      <c r="A67" s="1">
        <v>45986</v>
      </c>
      <c r="B67" s="2" t="s">
        <v>67</v>
      </c>
      <c r="C67" s="3" t="str">
        <f t="shared" si="3"/>
        <v>@asyncapi</v>
      </c>
      <c r="D67" s="3" t="str">
        <f t="shared" si="4"/>
        <v>keeper</v>
      </c>
      <c r="E67" s="3" t="str">
        <f t="shared" si="5"/>
        <v>v0.0.2</v>
      </c>
      <c r="F67" t="str">
        <f>IF(COUNTIFS('[1]25 November'!$E:$E,$D67)&gt;0, "NEW FINDING", IF(COUNTIFS('[1]20 September New Socket'!E:E,$D67)&gt;0,"PREVOUS REPORT","N/A"))</f>
        <v>NEW FINDING</v>
      </c>
    </row>
    <row r="68" spans="1:6" x14ac:dyDescent="0.2">
      <c r="A68" s="1">
        <v>45986</v>
      </c>
      <c r="B68" s="2" t="s">
        <v>68</v>
      </c>
      <c r="C68" s="3" t="str">
        <f t="shared" si="3"/>
        <v>@asyncapi</v>
      </c>
      <c r="D68" s="3" t="str">
        <f t="shared" si="4"/>
        <v>keeper</v>
      </c>
      <c r="E68" s="3" t="str">
        <f t="shared" si="5"/>
        <v>v0.0.3</v>
      </c>
      <c r="F68" t="str">
        <f>IF(COUNTIFS('[1]25 November'!$E:$E,$D68)&gt;0, "NEW FINDING", IF(COUNTIFS('[1]20 September New Socket'!E:E,$D68)&gt;0,"PREVOUS REPORT","N/A"))</f>
        <v>NEW FINDING</v>
      </c>
    </row>
    <row r="69" spans="1:6" x14ac:dyDescent="0.2">
      <c r="A69" s="1">
        <v>45986</v>
      </c>
      <c r="B69" s="2" t="s">
        <v>69</v>
      </c>
      <c r="C69" s="3" t="str">
        <f t="shared" si="3"/>
        <v>@asyncapi</v>
      </c>
      <c r="D69" s="3" t="str">
        <f t="shared" si="4"/>
        <v>modelina</v>
      </c>
      <c r="E69" s="3" t="str">
        <f t="shared" si="5"/>
        <v>v5.10.2</v>
      </c>
      <c r="F69" t="str">
        <f>IF(COUNTIFS('[1]25 November'!$E:$E,$D69)&gt;0, "NEW FINDING", IF(COUNTIFS('[1]20 September New Socket'!E:E,$D69)&gt;0,"PREVOUS REPORT","N/A"))</f>
        <v>NEW FINDING</v>
      </c>
    </row>
    <row r="70" spans="1:6" x14ac:dyDescent="0.2">
      <c r="A70" s="1">
        <v>45986</v>
      </c>
      <c r="B70" s="2" t="s">
        <v>70</v>
      </c>
      <c r="C70" s="3" t="str">
        <f t="shared" si="3"/>
        <v>@asyncapi</v>
      </c>
      <c r="D70" s="3" t="str">
        <f t="shared" si="4"/>
        <v>modelina</v>
      </c>
      <c r="E70" s="3" t="str">
        <f t="shared" si="5"/>
        <v>v5.10.3</v>
      </c>
      <c r="F70" t="str">
        <f>IF(COUNTIFS('[1]25 November'!$E:$E,$D70)&gt;0, "NEW FINDING", IF(COUNTIFS('[1]20 September New Socket'!E:E,$D70)&gt;0,"PREVOUS REPORT","N/A"))</f>
        <v>NEW FINDING</v>
      </c>
    </row>
    <row r="71" spans="1:6" x14ac:dyDescent="0.2">
      <c r="A71" s="1">
        <v>45986</v>
      </c>
      <c r="B71" s="2" t="s">
        <v>71</v>
      </c>
      <c r="C71" s="3" t="str">
        <f t="shared" si="3"/>
        <v>@asyncapi</v>
      </c>
      <c r="D71" s="3" t="str">
        <f t="shared" si="4"/>
        <v>modelina-cli</v>
      </c>
      <c r="E71" s="3" t="str">
        <f t="shared" si="5"/>
        <v>v5.10.2</v>
      </c>
      <c r="F71" t="str">
        <f>IF(COUNTIFS('[1]25 November'!$E:$E,$D71)&gt;0, "NEW FINDING", IF(COUNTIFS('[1]20 September New Socket'!E:E,$D71)&gt;0,"PREVOUS REPORT","N/A"))</f>
        <v>NEW FINDING</v>
      </c>
    </row>
    <row r="72" spans="1:6" x14ac:dyDescent="0.2">
      <c r="A72" s="1">
        <v>45986</v>
      </c>
      <c r="B72" s="2" t="s">
        <v>72</v>
      </c>
      <c r="C72" s="3" t="str">
        <f t="shared" si="3"/>
        <v>@asyncapi</v>
      </c>
      <c r="D72" s="3" t="str">
        <f t="shared" si="4"/>
        <v>modelina-cli</v>
      </c>
      <c r="E72" s="3" t="str">
        <f t="shared" si="5"/>
        <v>v5.10.3</v>
      </c>
      <c r="F72" t="str">
        <f>IF(COUNTIFS('[1]25 November'!$E:$E,$D72)&gt;0, "NEW FINDING", IF(COUNTIFS('[1]20 September New Socket'!E:E,$D72)&gt;0,"PREVOUS REPORT","N/A"))</f>
        <v>NEW FINDING</v>
      </c>
    </row>
    <row r="73" spans="1:6" x14ac:dyDescent="0.2">
      <c r="A73" s="1">
        <v>45986</v>
      </c>
      <c r="B73" s="2" t="s">
        <v>73</v>
      </c>
      <c r="C73" s="3" t="str">
        <f t="shared" si="3"/>
        <v>@asyncapi</v>
      </c>
      <c r="D73" s="3" t="str">
        <f t="shared" si="4"/>
        <v>multi-parser</v>
      </c>
      <c r="E73" s="3" t="str">
        <f t="shared" si="5"/>
        <v>v2.2.1</v>
      </c>
      <c r="F73" t="str">
        <f>IF(COUNTIFS('[1]25 November'!$E:$E,$D73)&gt;0, "NEW FINDING", IF(COUNTIFS('[1]20 September New Socket'!E:E,$D73)&gt;0,"PREVOUS REPORT","N/A"))</f>
        <v>NEW FINDING</v>
      </c>
    </row>
    <row r="74" spans="1:6" x14ac:dyDescent="0.2">
      <c r="A74" s="1">
        <v>45986</v>
      </c>
      <c r="B74" s="2" t="s">
        <v>74</v>
      </c>
      <c r="C74" s="3" t="str">
        <f t="shared" si="3"/>
        <v>@asyncapi</v>
      </c>
      <c r="D74" s="3" t="str">
        <f t="shared" si="4"/>
        <v>multi-parser</v>
      </c>
      <c r="E74" s="3" t="str">
        <f t="shared" si="5"/>
        <v>v2.2.2</v>
      </c>
      <c r="F74" t="str">
        <f>IF(COUNTIFS('[1]25 November'!$E:$E,$D74)&gt;0, "NEW FINDING", IF(COUNTIFS('[1]20 September New Socket'!E:E,$D74)&gt;0,"PREVOUS REPORT","N/A"))</f>
        <v>NEW FINDING</v>
      </c>
    </row>
    <row r="75" spans="1:6" x14ac:dyDescent="0.2">
      <c r="A75" s="1">
        <v>45986</v>
      </c>
      <c r="B75" s="2" t="s">
        <v>75</v>
      </c>
      <c r="C75" s="3" t="str">
        <f t="shared" si="3"/>
        <v>@asyncapi</v>
      </c>
      <c r="D75" s="3" t="str">
        <f t="shared" si="4"/>
        <v>nodejs-template</v>
      </c>
      <c r="E75" s="3" t="str">
        <f t="shared" si="5"/>
        <v>v3.0.5</v>
      </c>
      <c r="F75" t="str">
        <f>IF(COUNTIFS('[1]25 November'!$E:$E,$D75)&gt;0, "NEW FINDING", IF(COUNTIFS('[1]20 September New Socket'!E:E,$D75)&gt;0,"PREVOUS REPORT","N/A"))</f>
        <v>NEW FINDING</v>
      </c>
    </row>
    <row r="76" spans="1:6" x14ac:dyDescent="0.2">
      <c r="A76" s="1">
        <v>45986</v>
      </c>
      <c r="B76" s="2" t="s">
        <v>76</v>
      </c>
      <c r="C76" s="3" t="str">
        <f t="shared" si="3"/>
        <v>@asyncapi</v>
      </c>
      <c r="D76" s="3" t="str">
        <f t="shared" si="4"/>
        <v>nodejs-template</v>
      </c>
      <c r="E76" s="3" t="str">
        <f t="shared" si="5"/>
        <v>v3.0.6</v>
      </c>
      <c r="F76" t="str">
        <f>IF(COUNTIFS('[1]25 November'!$E:$E,$D76)&gt;0, "NEW FINDING", IF(COUNTIFS('[1]20 September New Socket'!E:E,$D76)&gt;0,"PREVOUS REPORT","N/A"))</f>
        <v>NEW FINDING</v>
      </c>
    </row>
    <row r="77" spans="1:6" x14ac:dyDescent="0.2">
      <c r="A77" s="1">
        <v>45986</v>
      </c>
      <c r="B77" s="2" t="s">
        <v>77</v>
      </c>
      <c r="C77" s="3" t="str">
        <f t="shared" si="3"/>
        <v>@asyncapi</v>
      </c>
      <c r="D77" s="3" t="str">
        <f t="shared" si="4"/>
        <v>nodejs-ws-template</v>
      </c>
      <c r="E77" s="3" t="str">
        <f t="shared" si="5"/>
        <v>v0.10.1</v>
      </c>
      <c r="F77" t="str">
        <f>IF(COUNTIFS('[1]25 November'!$E:$E,$D77)&gt;0, "NEW FINDING", IF(COUNTIFS('[1]20 September New Socket'!E:E,$D77)&gt;0,"PREVOUS REPORT","N/A"))</f>
        <v>NEW FINDING</v>
      </c>
    </row>
    <row r="78" spans="1:6" x14ac:dyDescent="0.2">
      <c r="A78" s="1">
        <v>45986</v>
      </c>
      <c r="B78" s="2" t="s">
        <v>78</v>
      </c>
      <c r="C78" s="3" t="str">
        <f t="shared" si="3"/>
        <v>@asyncapi</v>
      </c>
      <c r="D78" s="3" t="str">
        <f t="shared" si="4"/>
        <v>nodejs-ws-template</v>
      </c>
      <c r="E78" s="3" t="str">
        <f t="shared" si="5"/>
        <v>v0.10.2</v>
      </c>
      <c r="F78" t="str">
        <f>IF(COUNTIFS('[1]25 November'!$E:$E,$D78)&gt;0, "NEW FINDING", IF(COUNTIFS('[1]20 September New Socket'!E:E,$D78)&gt;0,"PREVOUS REPORT","N/A"))</f>
        <v>NEW FINDING</v>
      </c>
    </row>
    <row r="79" spans="1:6" x14ac:dyDescent="0.2">
      <c r="A79" s="1">
        <v>45986</v>
      </c>
      <c r="B79" s="2" t="s">
        <v>79</v>
      </c>
      <c r="C79" s="3" t="str">
        <f t="shared" si="3"/>
        <v>@asyncapi</v>
      </c>
      <c r="D79" s="3" t="str">
        <f t="shared" si="4"/>
        <v>nunjucks-filters</v>
      </c>
      <c r="E79" s="3" t="str">
        <f t="shared" si="5"/>
        <v>v2.1.1</v>
      </c>
      <c r="F79" t="str">
        <f>IF(COUNTIFS('[1]25 November'!$E:$E,$D79)&gt;0, "NEW FINDING", IF(COUNTIFS('[1]20 September New Socket'!E:E,$D79)&gt;0,"PREVOUS REPORT","N/A"))</f>
        <v>NEW FINDING</v>
      </c>
    </row>
    <row r="80" spans="1:6" x14ac:dyDescent="0.2">
      <c r="A80" s="1">
        <v>45986</v>
      </c>
      <c r="B80" s="2" t="s">
        <v>80</v>
      </c>
      <c r="C80" s="3" t="str">
        <f t="shared" si="3"/>
        <v>@asyncapi</v>
      </c>
      <c r="D80" s="3" t="str">
        <f t="shared" si="4"/>
        <v>nunjucks-filters</v>
      </c>
      <c r="E80" s="3" t="str">
        <f t="shared" si="5"/>
        <v>v2.1.2</v>
      </c>
      <c r="F80" t="str">
        <f>IF(COUNTIFS('[1]25 November'!$E:$E,$D80)&gt;0, "NEW FINDING", IF(COUNTIFS('[1]20 September New Socket'!E:E,$D80)&gt;0,"PREVOUS REPORT","N/A"))</f>
        <v>NEW FINDING</v>
      </c>
    </row>
    <row r="81" spans="1:6" x14ac:dyDescent="0.2">
      <c r="A81" s="1">
        <v>45986</v>
      </c>
      <c r="B81" s="2" t="s">
        <v>81</v>
      </c>
      <c r="C81" s="3" t="str">
        <f t="shared" si="3"/>
        <v>@asyncapi</v>
      </c>
      <c r="D81" s="3" t="str">
        <f t="shared" si="4"/>
        <v>openapi-schema-parser</v>
      </c>
      <c r="E81" s="3" t="str">
        <f t="shared" si="5"/>
        <v>v3.0.25</v>
      </c>
      <c r="F81" t="str">
        <f>IF(COUNTIFS('[1]25 November'!$E:$E,$D81)&gt;0, "NEW FINDING", IF(COUNTIFS('[1]20 September New Socket'!E:E,$D81)&gt;0,"PREVOUS REPORT","N/A"))</f>
        <v>NEW FINDING</v>
      </c>
    </row>
    <row r="82" spans="1:6" x14ac:dyDescent="0.2">
      <c r="A82" s="1">
        <v>45986</v>
      </c>
      <c r="B82" s="2" t="s">
        <v>82</v>
      </c>
      <c r="C82" s="3" t="str">
        <f t="shared" si="3"/>
        <v>@asyncapi</v>
      </c>
      <c r="D82" s="3" t="str">
        <f t="shared" si="4"/>
        <v>openapi-schema-parser</v>
      </c>
      <c r="E82" s="3" t="str">
        <f t="shared" si="5"/>
        <v>v3.0.26</v>
      </c>
      <c r="F82" t="str">
        <f>IF(COUNTIFS('[1]25 November'!$E:$E,$D82)&gt;0, "NEW FINDING", IF(COUNTIFS('[1]20 September New Socket'!E:E,$D82)&gt;0,"PREVOUS REPORT","N/A"))</f>
        <v>NEW FINDING</v>
      </c>
    </row>
    <row r="83" spans="1:6" x14ac:dyDescent="0.2">
      <c r="A83" s="1">
        <v>45986</v>
      </c>
      <c r="B83" s="2" t="s">
        <v>83</v>
      </c>
      <c r="C83" s="3" t="str">
        <f t="shared" si="3"/>
        <v>@asyncapi</v>
      </c>
      <c r="D83" s="3" t="str">
        <f t="shared" si="4"/>
        <v>optimizer</v>
      </c>
      <c r="E83" s="3" t="str">
        <f t="shared" si="5"/>
        <v>v1.0.5</v>
      </c>
      <c r="F83" t="str">
        <f>IF(COUNTIFS('[1]25 November'!$E:$E,$D83)&gt;0, "NEW FINDING", IF(COUNTIFS('[1]20 September New Socket'!E:E,$D83)&gt;0,"PREVOUS REPORT","N/A"))</f>
        <v>NEW FINDING</v>
      </c>
    </row>
    <row r="84" spans="1:6" x14ac:dyDescent="0.2">
      <c r="A84" s="1">
        <v>45986</v>
      </c>
      <c r="B84" s="2" t="s">
        <v>84</v>
      </c>
      <c r="C84" s="3" t="str">
        <f t="shared" si="3"/>
        <v>@asyncapi</v>
      </c>
      <c r="D84" s="3" t="str">
        <f t="shared" si="4"/>
        <v>optimizer</v>
      </c>
      <c r="E84" s="3" t="str">
        <f t="shared" si="5"/>
        <v>v1.0.6</v>
      </c>
      <c r="F84" t="str">
        <f>IF(COUNTIFS('[1]25 November'!$E:$E,$D84)&gt;0, "NEW FINDING", IF(COUNTIFS('[1]20 September New Socket'!E:E,$D84)&gt;0,"PREVOUS REPORT","N/A"))</f>
        <v>NEW FINDING</v>
      </c>
    </row>
    <row r="85" spans="1:6" x14ac:dyDescent="0.2">
      <c r="A85" s="1">
        <v>45986</v>
      </c>
      <c r="B85" s="2" t="s">
        <v>85</v>
      </c>
      <c r="C85" s="3" t="str">
        <f t="shared" si="3"/>
        <v>@asyncapi</v>
      </c>
      <c r="D85" s="3" t="str">
        <f t="shared" si="4"/>
        <v>parser</v>
      </c>
      <c r="E85" s="3" t="str">
        <f t="shared" si="5"/>
        <v>v3.4.1</v>
      </c>
      <c r="F85" t="str">
        <f>IF(COUNTIFS('[1]25 November'!$E:$E,$D85)&gt;0, "NEW FINDING", IF(COUNTIFS('[1]20 September New Socket'!E:E,$D85)&gt;0,"PREVOUS REPORT","N/A"))</f>
        <v>NEW FINDING</v>
      </c>
    </row>
    <row r="86" spans="1:6" x14ac:dyDescent="0.2">
      <c r="A86" s="1">
        <v>45986</v>
      </c>
      <c r="B86" s="2" t="s">
        <v>86</v>
      </c>
      <c r="C86" s="3" t="str">
        <f t="shared" si="3"/>
        <v>@asyncapi</v>
      </c>
      <c r="D86" s="3" t="str">
        <f t="shared" si="4"/>
        <v>parser</v>
      </c>
      <c r="E86" s="3" t="str">
        <f t="shared" si="5"/>
        <v>v3.4.2</v>
      </c>
      <c r="F86" t="str">
        <f>IF(COUNTIFS('[1]25 November'!$E:$E,$D86)&gt;0, "NEW FINDING", IF(COUNTIFS('[1]20 September New Socket'!E:E,$D86)&gt;0,"PREVOUS REPORT","N/A"))</f>
        <v>NEW FINDING</v>
      </c>
    </row>
    <row r="87" spans="1:6" x14ac:dyDescent="0.2">
      <c r="A87" s="1">
        <v>45986</v>
      </c>
      <c r="B87" s="2" t="s">
        <v>87</v>
      </c>
      <c r="C87" s="3" t="str">
        <f t="shared" si="3"/>
        <v>@asyncapi</v>
      </c>
      <c r="D87" s="3" t="str">
        <f t="shared" si="4"/>
        <v>php-template</v>
      </c>
      <c r="E87" s="3" t="str">
        <f t="shared" si="5"/>
        <v>v0.1.1</v>
      </c>
      <c r="F87" t="str">
        <f>IF(COUNTIFS('[1]25 November'!$E:$E,$D87)&gt;0, "NEW FINDING", IF(COUNTIFS('[1]20 September New Socket'!E:E,$D87)&gt;0,"PREVOUS REPORT","N/A"))</f>
        <v>NEW FINDING</v>
      </c>
    </row>
    <row r="88" spans="1:6" x14ac:dyDescent="0.2">
      <c r="A88" s="1">
        <v>45986</v>
      </c>
      <c r="B88" s="2" t="s">
        <v>88</v>
      </c>
      <c r="C88" s="3" t="str">
        <f t="shared" si="3"/>
        <v>@asyncapi</v>
      </c>
      <c r="D88" s="3" t="str">
        <f t="shared" si="4"/>
        <v>php-template</v>
      </c>
      <c r="E88" s="3" t="str">
        <f t="shared" si="5"/>
        <v>v0.1.2</v>
      </c>
      <c r="F88" t="str">
        <f>IF(COUNTIFS('[1]25 November'!$E:$E,$D88)&gt;0, "NEW FINDING", IF(COUNTIFS('[1]20 September New Socket'!E:E,$D88)&gt;0,"PREVOUS REPORT","N/A"))</f>
        <v>NEW FINDING</v>
      </c>
    </row>
    <row r="89" spans="1:6" x14ac:dyDescent="0.2">
      <c r="A89" s="1">
        <v>45986</v>
      </c>
      <c r="B89" s="2" t="s">
        <v>89</v>
      </c>
      <c r="C89" s="3" t="str">
        <f t="shared" si="3"/>
        <v>@asyncapi</v>
      </c>
      <c r="D89" s="3" t="str">
        <f t="shared" si="4"/>
        <v>problem</v>
      </c>
      <c r="E89" s="3" t="str">
        <f t="shared" si="5"/>
        <v>v1.0.1</v>
      </c>
      <c r="F89" t="str">
        <f>IF(COUNTIFS('[1]25 November'!$E:$E,$D89)&gt;0, "NEW FINDING", IF(COUNTIFS('[1]20 September New Socket'!E:E,$D89)&gt;0,"PREVOUS REPORT","N/A"))</f>
        <v>NEW FINDING</v>
      </c>
    </row>
    <row r="90" spans="1:6" x14ac:dyDescent="0.2">
      <c r="A90" s="1">
        <v>45986</v>
      </c>
      <c r="B90" s="2" t="s">
        <v>90</v>
      </c>
      <c r="C90" s="3" t="str">
        <f t="shared" si="3"/>
        <v>@asyncapi</v>
      </c>
      <c r="D90" s="3" t="str">
        <f t="shared" si="4"/>
        <v>problem</v>
      </c>
      <c r="E90" s="3" t="str">
        <f t="shared" si="5"/>
        <v>v1.0.2</v>
      </c>
      <c r="F90" t="str">
        <f>IF(COUNTIFS('[1]25 November'!$E:$E,$D90)&gt;0, "NEW FINDING", IF(COUNTIFS('[1]20 September New Socket'!E:E,$D90)&gt;0,"PREVOUS REPORT","N/A"))</f>
        <v>NEW FINDING</v>
      </c>
    </row>
    <row r="91" spans="1:6" x14ac:dyDescent="0.2">
      <c r="A91" s="1">
        <v>45986</v>
      </c>
      <c r="B91" s="2" t="s">
        <v>91</v>
      </c>
      <c r="C91" s="3" t="str">
        <f t="shared" si="3"/>
        <v>@asyncapi</v>
      </c>
      <c r="D91" s="3" t="str">
        <f t="shared" si="4"/>
        <v>protobuf-schema-parser</v>
      </c>
      <c r="E91" s="3" t="str">
        <f t="shared" si="5"/>
        <v>v3.5.3</v>
      </c>
      <c r="F91" t="str">
        <f>IF(COUNTIFS('[1]25 November'!$E:$E,$D91)&gt;0, "NEW FINDING", IF(COUNTIFS('[1]20 September New Socket'!E:E,$D91)&gt;0,"PREVOUS REPORT","N/A"))</f>
        <v>NEW FINDING</v>
      </c>
    </row>
    <row r="92" spans="1:6" x14ac:dyDescent="0.2">
      <c r="A92" s="1">
        <v>45986</v>
      </c>
      <c r="B92" s="2" t="s">
        <v>92</v>
      </c>
      <c r="C92" s="3" t="str">
        <f t="shared" si="3"/>
        <v>@asyncapi</v>
      </c>
      <c r="D92" s="3" t="str">
        <f t="shared" si="4"/>
        <v>python-paho-template</v>
      </c>
      <c r="E92" s="3" t="str">
        <f t="shared" si="5"/>
        <v>v0.2.14</v>
      </c>
      <c r="F92" t="str">
        <f>IF(COUNTIFS('[1]25 November'!$E:$E,$D92)&gt;0, "NEW FINDING", IF(COUNTIFS('[1]20 September New Socket'!E:E,$D92)&gt;0,"PREVOUS REPORT","N/A"))</f>
        <v>NEW FINDING</v>
      </c>
    </row>
    <row r="93" spans="1:6" x14ac:dyDescent="0.2">
      <c r="A93" s="1">
        <v>45986</v>
      </c>
      <c r="B93" s="2" t="s">
        <v>93</v>
      </c>
      <c r="C93" s="3" t="str">
        <f t="shared" si="3"/>
        <v>@asyncapi</v>
      </c>
      <c r="D93" s="3" t="str">
        <f t="shared" si="4"/>
        <v>python-paho-template</v>
      </c>
      <c r="E93" s="3" t="str">
        <f t="shared" si="5"/>
        <v>v0.2.15</v>
      </c>
      <c r="F93" t="str">
        <f>IF(COUNTIFS('[1]25 November'!$E:$E,$D93)&gt;0, "NEW FINDING", IF(COUNTIFS('[1]20 September New Socket'!E:E,$D93)&gt;0,"PREVOUS REPORT","N/A"))</f>
        <v>NEW FINDING</v>
      </c>
    </row>
    <row r="94" spans="1:6" x14ac:dyDescent="0.2">
      <c r="A94" s="1">
        <v>45986</v>
      </c>
      <c r="B94" s="2" t="s">
        <v>94</v>
      </c>
      <c r="C94" s="3" t="str">
        <f t="shared" si="3"/>
        <v>@asyncapi</v>
      </c>
      <c r="D94" s="3" t="str">
        <f t="shared" si="4"/>
        <v>react-component</v>
      </c>
      <c r="E94" s="3" t="str">
        <f t="shared" si="5"/>
        <v>v2.6.6</v>
      </c>
      <c r="F94" t="str">
        <f>IF(COUNTIFS('[1]25 November'!$E:$E,$D94)&gt;0, "NEW FINDING", IF(COUNTIFS('[1]20 September New Socket'!E:E,$D94)&gt;0,"PREVOUS REPORT","N/A"))</f>
        <v>NEW FINDING</v>
      </c>
    </row>
    <row r="95" spans="1:6" x14ac:dyDescent="0.2">
      <c r="A95" s="1">
        <v>45986</v>
      </c>
      <c r="B95" s="2" t="s">
        <v>95</v>
      </c>
      <c r="C95" s="3" t="str">
        <f t="shared" si="3"/>
        <v>@asyncapi</v>
      </c>
      <c r="D95" s="3" t="str">
        <f t="shared" si="4"/>
        <v>react-component</v>
      </c>
      <c r="E95" s="3" t="str">
        <f t="shared" si="5"/>
        <v>v2.6.7</v>
      </c>
      <c r="F95" t="str">
        <f>IF(COUNTIFS('[1]25 November'!$E:$E,$D95)&gt;0, "NEW FINDING", IF(COUNTIFS('[1]20 September New Socket'!E:E,$D95)&gt;0,"PREVOUS REPORT","N/A"))</f>
        <v>NEW FINDING</v>
      </c>
    </row>
    <row r="96" spans="1:6" x14ac:dyDescent="0.2">
      <c r="A96" s="1">
        <v>45986</v>
      </c>
      <c r="B96" s="2" t="s">
        <v>96</v>
      </c>
      <c r="C96" s="3" t="str">
        <f t="shared" si="3"/>
        <v>@asyncapi</v>
      </c>
      <c r="D96" s="3" t="str">
        <f t="shared" si="4"/>
        <v>server-api</v>
      </c>
      <c r="E96" s="3" t="str">
        <f t="shared" si="5"/>
        <v>v0.16.24</v>
      </c>
      <c r="F96" t="str">
        <f>IF(COUNTIFS('[1]25 November'!$E:$E,$D96)&gt;0, "NEW FINDING", IF(COUNTIFS('[1]20 September New Socket'!E:E,$D96)&gt;0,"PREVOUS REPORT","N/A"))</f>
        <v>NEW FINDING</v>
      </c>
    </row>
    <row r="97" spans="1:6" x14ac:dyDescent="0.2">
      <c r="A97" s="1">
        <v>45986</v>
      </c>
      <c r="B97" s="2" t="s">
        <v>97</v>
      </c>
      <c r="C97" s="3" t="str">
        <f t="shared" si="3"/>
        <v>@asyncapi</v>
      </c>
      <c r="D97" s="3" t="str">
        <f t="shared" si="4"/>
        <v>server-api</v>
      </c>
      <c r="E97" s="3" t="str">
        <f t="shared" si="5"/>
        <v>v0.16.25</v>
      </c>
      <c r="F97" t="str">
        <f>IF(COUNTIFS('[1]25 November'!$E:$E,$D97)&gt;0, "NEW FINDING", IF(COUNTIFS('[1]20 September New Socket'!E:E,$D97)&gt;0,"PREVOUS REPORT","N/A"))</f>
        <v>NEW FINDING</v>
      </c>
    </row>
    <row r="98" spans="1:6" x14ac:dyDescent="0.2">
      <c r="A98" s="1">
        <v>45986</v>
      </c>
      <c r="B98" s="2" t="s">
        <v>98</v>
      </c>
      <c r="C98" s="3" t="str">
        <f t="shared" si="3"/>
        <v>@asyncapi</v>
      </c>
      <c r="D98" s="3" t="str">
        <f t="shared" si="4"/>
        <v>specs</v>
      </c>
      <c r="E98" s="3" t="str">
        <f t="shared" si="5"/>
        <v>v6.8.3</v>
      </c>
      <c r="F98" t="str">
        <f>IF(COUNTIFS('[1]25 November'!$E:$E,$D98)&gt;0, "NEW FINDING", IF(COUNTIFS('[1]20 September New Socket'!E:E,$D98)&gt;0,"PREVOUS REPORT","N/A"))</f>
        <v>NEW FINDING</v>
      </c>
    </row>
    <row r="99" spans="1:6" x14ac:dyDescent="0.2">
      <c r="A99" s="1">
        <v>45986</v>
      </c>
      <c r="B99" s="2" t="s">
        <v>99</v>
      </c>
      <c r="C99" s="3" t="str">
        <f t="shared" si="3"/>
        <v>@asyncapi</v>
      </c>
      <c r="D99" s="3" t="str">
        <f t="shared" si="4"/>
        <v>studio</v>
      </c>
      <c r="E99" s="3" t="str">
        <f t="shared" si="5"/>
        <v>v1.0.2</v>
      </c>
      <c r="F99" t="str">
        <f>IF(COUNTIFS('[1]25 November'!$E:$E,$D99)&gt;0, "NEW FINDING", IF(COUNTIFS('[1]20 September New Socket'!E:E,$D99)&gt;0,"PREVOUS REPORT","N/A"))</f>
        <v>NEW FINDING</v>
      </c>
    </row>
    <row r="100" spans="1:6" x14ac:dyDescent="0.2">
      <c r="A100" s="1">
        <v>45986</v>
      </c>
      <c r="B100" s="2" t="s">
        <v>100</v>
      </c>
      <c r="C100" s="3" t="str">
        <f t="shared" si="3"/>
        <v>@asyncapi</v>
      </c>
      <c r="D100" s="3" t="str">
        <f t="shared" si="4"/>
        <v>studio</v>
      </c>
      <c r="E100" s="3" t="str">
        <f t="shared" si="5"/>
        <v>v1.0.3</v>
      </c>
      <c r="F100" t="str">
        <f>IF(COUNTIFS('[1]25 November'!$E:$E,$D100)&gt;0, "NEW FINDING", IF(COUNTIFS('[1]20 September New Socket'!E:E,$D100)&gt;0,"PREVOUS REPORT","N/A"))</f>
        <v>NEW FINDING</v>
      </c>
    </row>
    <row r="101" spans="1:6" x14ac:dyDescent="0.2">
      <c r="A101" s="1">
        <v>45986</v>
      </c>
      <c r="B101" s="2" t="s">
        <v>101</v>
      </c>
      <c r="C101" s="3" t="str">
        <f t="shared" si="3"/>
        <v>@asyncapi</v>
      </c>
      <c r="D101" s="3" t="str">
        <f t="shared" si="4"/>
        <v>web-component</v>
      </c>
      <c r="E101" s="3" t="str">
        <f t="shared" si="5"/>
        <v>v2.6.6</v>
      </c>
      <c r="F101" t="str">
        <f>IF(COUNTIFS('[1]25 November'!$E:$E,$D101)&gt;0, "NEW FINDING", IF(COUNTIFS('[1]20 September New Socket'!E:E,$D101)&gt;0,"PREVOUS REPORT","N/A"))</f>
        <v>NEW FINDING</v>
      </c>
    </row>
    <row r="102" spans="1:6" x14ac:dyDescent="0.2">
      <c r="A102" s="1">
        <v>45986</v>
      </c>
      <c r="B102" s="2" t="s">
        <v>102</v>
      </c>
      <c r="C102" s="3" t="str">
        <f t="shared" si="3"/>
        <v>@asyncapi</v>
      </c>
      <c r="D102" s="3" t="str">
        <f t="shared" si="4"/>
        <v>web-component</v>
      </c>
      <c r="E102" s="3" t="str">
        <f t="shared" si="5"/>
        <v>v2.6.7</v>
      </c>
      <c r="F102" t="str">
        <f>IF(COUNTIFS('[1]25 November'!$E:$E,$D102)&gt;0, "NEW FINDING", IF(COUNTIFS('[1]20 September New Socket'!E:E,$D102)&gt;0,"PREVOUS REPORT","N/A"))</f>
        <v>NEW FINDING</v>
      </c>
    </row>
    <row r="103" spans="1:6" x14ac:dyDescent="0.2">
      <c r="B103" s="2" t="s">
        <v>103</v>
      </c>
      <c r="C103" s="3" t="str">
        <f t="shared" si="3"/>
        <v>@bdkinc</v>
      </c>
      <c r="D103" s="3" t="str">
        <f t="shared" si="4"/>
        <v>knex-ibmi</v>
      </c>
      <c r="E103" s="3" t="str">
        <f t="shared" si="5"/>
        <v>v0.5.7</v>
      </c>
      <c r="F103" t="str">
        <f>IF(COUNTIFS('[1]25 November'!$E:$E,$D103)&gt;0, "NEW FINDING", IF(COUNTIFS('[1]20 September New Socket'!E:E,$D103)&gt;0,"PREVOUS REPORT","N/A"))</f>
        <v>N/A</v>
      </c>
    </row>
    <row r="104" spans="1:6" x14ac:dyDescent="0.2">
      <c r="B104" s="2" t="s">
        <v>104</v>
      </c>
      <c r="C104" s="3" t="str">
        <f t="shared" si="3"/>
        <v>@browserbasehq</v>
      </c>
      <c r="D104" s="3" t="str">
        <f t="shared" si="4"/>
        <v>bb9</v>
      </c>
      <c r="E104" s="3" t="str">
        <f t="shared" si="5"/>
        <v>v1.2.21</v>
      </c>
      <c r="F104" t="str">
        <f>IF(COUNTIFS('[1]25 November'!$E:$E,$D104)&gt;0, "NEW FINDING", IF(COUNTIFS('[1]20 September New Socket'!E:E,$D104)&gt;0,"PREVOUS REPORT","N/A"))</f>
        <v>N/A</v>
      </c>
    </row>
    <row r="105" spans="1:6" x14ac:dyDescent="0.2">
      <c r="B105" s="2" t="s">
        <v>105</v>
      </c>
      <c r="C105" s="3" t="str">
        <f t="shared" si="3"/>
        <v>@browserbasehq</v>
      </c>
      <c r="D105" s="3" t="str">
        <f t="shared" si="4"/>
        <v>director-ai</v>
      </c>
      <c r="E105" s="3" t="str">
        <f t="shared" si="5"/>
        <v>v1.0.3</v>
      </c>
      <c r="F105" t="str">
        <f>IF(COUNTIFS('[1]25 November'!$E:$E,$D105)&gt;0, "NEW FINDING", IF(COUNTIFS('[1]20 September New Socket'!E:E,$D105)&gt;0,"PREVOUS REPORT","N/A"))</f>
        <v>N/A</v>
      </c>
    </row>
    <row r="106" spans="1:6" x14ac:dyDescent="0.2">
      <c r="B106" s="2" t="s">
        <v>106</v>
      </c>
      <c r="C106" s="3" t="str">
        <f t="shared" si="3"/>
        <v>@browserbasehq</v>
      </c>
      <c r="D106" s="3" t="str">
        <f t="shared" si="4"/>
        <v>mcp</v>
      </c>
      <c r="E106" s="3" t="str">
        <f t="shared" si="5"/>
        <v>v2.1.1</v>
      </c>
      <c r="F106" t="str">
        <f>IF(COUNTIFS('[1]25 November'!$E:$E,$D106)&gt;0, "NEW FINDING", IF(COUNTIFS('[1]20 September New Socket'!E:E,$D106)&gt;0,"PREVOUS REPORT","N/A"))</f>
        <v>N/A</v>
      </c>
    </row>
    <row r="107" spans="1:6" x14ac:dyDescent="0.2">
      <c r="B107" s="2" t="s">
        <v>107</v>
      </c>
      <c r="C107" s="3" t="str">
        <f t="shared" si="3"/>
        <v>@browserbasehq</v>
      </c>
      <c r="D107" s="3" t="str">
        <f t="shared" si="4"/>
        <v>mcp-server-browserbase</v>
      </c>
      <c r="E107" s="3" t="str">
        <f t="shared" si="5"/>
        <v>v2.4.2</v>
      </c>
      <c r="F107" t="str">
        <f>IF(COUNTIFS('[1]25 November'!$E:$E,$D107)&gt;0, "NEW FINDING", IF(COUNTIFS('[1]20 September New Socket'!E:E,$D107)&gt;0,"PREVOUS REPORT","N/A"))</f>
        <v>N/A</v>
      </c>
    </row>
    <row r="108" spans="1:6" x14ac:dyDescent="0.2">
      <c r="B108" s="2" t="s">
        <v>108</v>
      </c>
      <c r="C108" s="3" t="str">
        <f t="shared" si="3"/>
        <v>@browserbasehq</v>
      </c>
      <c r="D108" s="3" t="str">
        <f t="shared" si="4"/>
        <v>sdk-functions</v>
      </c>
      <c r="E108" s="3" t="str">
        <f t="shared" si="5"/>
        <v>v0.0.4</v>
      </c>
      <c r="F108" t="str">
        <f>IF(COUNTIFS('[1]25 November'!$E:$E,$D108)&gt;0, "NEW FINDING", IF(COUNTIFS('[1]20 September New Socket'!E:E,$D108)&gt;0,"PREVOUS REPORT","N/A"))</f>
        <v>N/A</v>
      </c>
    </row>
    <row r="109" spans="1:6" x14ac:dyDescent="0.2">
      <c r="B109" s="2" t="s">
        <v>109</v>
      </c>
      <c r="C109" s="3" t="str">
        <f t="shared" si="3"/>
        <v>@browserbasehq</v>
      </c>
      <c r="D109" s="3" t="str">
        <f t="shared" si="4"/>
        <v>stagehand</v>
      </c>
      <c r="E109" s="3" t="str">
        <f t="shared" si="5"/>
        <v>v3.0.4</v>
      </c>
      <c r="F109" t="str">
        <f>IF(COUNTIFS('[1]25 November'!$E:$E,$D109)&gt;0, "NEW FINDING", IF(COUNTIFS('[1]20 September New Socket'!E:E,$D109)&gt;0,"PREVOUS REPORT","N/A"))</f>
        <v>N/A</v>
      </c>
    </row>
    <row r="110" spans="1:6" x14ac:dyDescent="0.2">
      <c r="B110" s="2" t="s">
        <v>110</v>
      </c>
      <c r="C110" s="3" t="str">
        <f t="shared" si="3"/>
        <v>@browserbasehq</v>
      </c>
      <c r="D110" s="3" t="str">
        <f t="shared" si="4"/>
        <v>stagehand-docs</v>
      </c>
      <c r="E110" s="3" t="str">
        <f t="shared" si="5"/>
        <v>v1.0.1</v>
      </c>
      <c r="F110" t="str">
        <f>IF(COUNTIFS('[1]25 November'!$E:$E,$D110)&gt;0, "NEW FINDING", IF(COUNTIFS('[1]20 September New Socket'!E:E,$D110)&gt;0,"PREVOUS REPORT","N/A"))</f>
        <v>N/A</v>
      </c>
    </row>
    <row r="111" spans="1:6" x14ac:dyDescent="0.2">
      <c r="A111" s="1">
        <v>45986</v>
      </c>
      <c r="B111" s="2" t="s">
        <v>111</v>
      </c>
      <c r="C111" s="3" t="str">
        <f t="shared" si="3"/>
        <v>@caretive</v>
      </c>
      <c r="D111" s="3" t="str">
        <f t="shared" si="4"/>
        <v>caret-cli</v>
      </c>
      <c r="E111" s="3" t="str">
        <f t="shared" si="5"/>
        <v>v0.0.2</v>
      </c>
      <c r="F111" t="str">
        <f>IF(COUNTIFS('[1]25 November'!$E:$E,$D111)&gt;0, "NEW FINDING", IF(COUNTIFS('[1]20 September New Socket'!E:E,$D111)&gt;0,"PREVOUS REPORT","N/A"))</f>
        <v>NEW FINDING</v>
      </c>
    </row>
    <row r="112" spans="1:6" x14ac:dyDescent="0.2">
      <c r="A112" s="1">
        <v>45986</v>
      </c>
      <c r="B112" s="2" t="s">
        <v>112</v>
      </c>
      <c r="C112" s="3" t="str">
        <f t="shared" si="3"/>
        <v>@chtijs</v>
      </c>
      <c r="D112" s="3" t="str">
        <f t="shared" si="4"/>
        <v>eslint-config</v>
      </c>
      <c r="E112" s="3" t="str">
        <f t="shared" si="5"/>
        <v>v1.0.1</v>
      </c>
      <c r="F112" t="str">
        <f>IF(COUNTIFS('[1]25 November'!$E:$E,$D112)&gt;0, "NEW FINDING", IF(COUNTIFS('[1]20 September New Socket'!E:E,$D112)&gt;0,"PREVOUS REPORT","N/A"))</f>
        <v>NEW FINDING</v>
      </c>
    </row>
    <row r="113" spans="1:6" x14ac:dyDescent="0.2">
      <c r="B113" s="2" t="s">
        <v>113</v>
      </c>
      <c r="C113" s="3" t="str">
        <f t="shared" si="3"/>
        <v>@clausehq</v>
      </c>
      <c r="D113" s="3" t="str">
        <f t="shared" si="4"/>
        <v>flows-step-httprequest</v>
      </c>
      <c r="E113" s="3" t="str">
        <f t="shared" si="5"/>
        <v>v0.1.14</v>
      </c>
      <c r="F113" t="str">
        <f>IF(COUNTIFS('[1]25 November'!$E:$E,$D113)&gt;0, "NEW FINDING", IF(COUNTIFS('[1]20 September New Socket'!E:E,$D113)&gt;0,"PREVOUS REPORT","N/A"))</f>
        <v>N/A</v>
      </c>
    </row>
    <row r="114" spans="1:6" x14ac:dyDescent="0.2">
      <c r="A114" s="1">
        <v>45986</v>
      </c>
      <c r="B114" s="2" t="s">
        <v>114</v>
      </c>
      <c r="C114" s="3" t="str">
        <f t="shared" si="3"/>
        <v>@clausehq</v>
      </c>
      <c r="D114" s="3" t="str">
        <f t="shared" si="4"/>
        <v>flows-step-jsontoxml</v>
      </c>
      <c r="E114" s="3" t="str">
        <f t="shared" si="5"/>
        <v>v0.1.14</v>
      </c>
      <c r="F114" t="str">
        <f>IF(COUNTIFS('[1]25 November'!$E:$E,$D114)&gt;0, "NEW FINDING", IF(COUNTIFS('[1]20 September New Socket'!E:E,$D114)&gt;0,"PREVOUS REPORT","N/A"))</f>
        <v>NEW FINDING</v>
      </c>
    </row>
    <row r="115" spans="1:6" x14ac:dyDescent="0.2">
      <c r="B115" s="2" t="s">
        <v>115</v>
      </c>
      <c r="C115" s="3" t="str">
        <f t="shared" si="3"/>
        <v>@clausehq</v>
      </c>
      <c r="D115" s="3" t="str">
        <f t="shared" si="4"/>
        <v>flows-step-mqtt</v>
      </c>
      <c r="E115" s="3" t="str">
        <f t="shared" si="5"/>
        <v>v0.1.14</v>
      </c>
      <c r="F115" t="str">
        <f>IF(COUNTIFS('[1]25 November'!$E:$E,$D115)&gt;0, "NEW FINDING", IF(COUNTIFS('[1]20 September New Socket'!E:E,$D115)&gt;0,"PREVOUS REPORT","N/A"))</f>
        <v>N/A</v>
      </c>
    </row>
    <row r="116" spans="1:6" x14ac:dyDescent="0.2">
      <c r="A116" s="1">
        <v>45986</v>
      </c>
      <c r="B116" s="2" t="s">
        <v>116</v>
      </c>
      <c r="C116" s="3" t="str">
        <f t="shared" si="3"/>
        <v>@clausehq</v>
      </c>
      <c r="D116" s="3" t="str">
        <f t="shared" si="4"/>
        <v>flows-step-sendgridemail</v>
      </c>
      <c r="E116" s="3" t="str">
        <f t="shared" si="5"/>
        <v>v0.1.14</v>
      </c>
      <c r="F116" t="str">
        <f>IF(COUNTIFS('[1]25 November'!$E:$E,$D116)&gt;0, "NEW FINDING", IF(COUNTIFS('[1]20 September New Socket'!E:E,$D116)&gt;0,"PREVOUS REPORT","N/A"))</f>
        <v>NEW FINDING</v>
      </c>
    </row>
    <row r="117" spans="1:6" x14ac:dyDescent="0.2">
      <c r="B117" s="2" t="s">
        <v>117</v>
      </c>
      <c r="C117" s="3" t="str">
        <f t="shared" si="3"/>
        <v>@clausehq</v>
      </c>
      <c r="D117" s="3" t="str">
        <f t="shared" si="4"/>
        <v>flows-step-taskscreateurl</v>
      </c>
      <c r="E117" s="3" t="str">
        <f t="shared" si="5"/>
        <v>v0.1.14</v>
      </c>
      <c r="F117" t="str">
        <f>IF(COUNTIFS('[1]25 November'!$E:$E,$D117)&gt;0, "NEW FINDING", IF(COUNTIFS('[1]20 September New Socket'!E:E,$D117)&gt;0,"PREVOUS REPORT","N/A"))</f>
        <v>N/A</v>
      </c>
    </row>
    <row r="118" spans="1:6" x14ac:dyDescent="0.2">
      <c r="B118" s="2" t="s">
        <v>118</v>
      </c>
      <c r="C118" s="3" t="str">
        <f t="shared" si="3"/>
        <v>@cllbk</v>
      </c>
      <c r="D118" s="3" t="str">
        <f t="shared" si="4"/>
        <v>ghl</v>
      </c>
      <c r="E118" s="3" t="str">
        <f t="shared" si="5"/>
        <v>v1.3.1</v>
      </c>
      <c r="F118" t="str">
        <f>IF(COUNTIFS('[1]25 November'!$E:$E,$D118)&gt;0, "NEW FINDING", IF(COUNTIFS('[1]20 September New Socket'!E:E,$D118)&gt;0,"PREVOUS REPORT","N/A"))</f>
        <v>N/A</v>
      </c>
    </row>
    <row r="119" spans="1:6" x14ac:dyDescent="0.2">
      <c r="A119" s="1">
        <v>45986</v>
      </c>
      <c r="B119" s="2" t="s">
        <v>119</v>
      </c>
      <c r="C119" s="3" t="str">
        <f t="shared" si="3"/>
        <v>@commute</v>
      </c>
      <c r="D119" s="3" t="str">
        <f t="shared" si="4"/>
        <v>bloom</v>
      </c>
      <c r="E119" s="3" t="str">
        <f t="shared" si="5"/>
        <v>v1.0.3</v>
      </c>
      <c r="F119" t="str">
        <f>IF(COUNTIFS('[1]25 November'!$E:$E,$D119)&gt;0, "NEW FINDING", IF(COUNTIFS('[1]20 September New Socket'!E:E,$D119)&gt;0,"PREVOUS REPORT","N/A"))</f>
        <v>NEW FINDING</v>
      </c>
    </row>
    <row r="120" spans="1:6" x14ac:dyDescent="0.2">
      <c r="A120" s="1">
        <v>45986</v>
      </c>
      <c r="B120" s="2" t="s">
        <v>120</v>
      </c>
      <c r="C120" s="3" t="str">
        <f t="shared" si="3"/>
        <v>@commute</v>
      </c>
      <c r="D120" s="3" t="str">
        <f t="shared" si="4"/>
        <v>market-data</v>
      </c>
      <c r="E120" s="3" t="str">
        <f t="shared" si="5"/>
        <v>v1.0.2</v>
      </c>
      <c r="F120" t="str">
        <f>IF(COUNTIFS('[1]25 November'!$E:$E,$D120)&gt;0, "NEW FINDING", IF(COUNTIFS('[1]20 September New Socket'!E:E,$D120)&gt;0,"PREVOUS REPORT","N/A"))</f>
        <v>NEW FINDING</v>
      </c>
    </row>
    <row r="121" spans="1:6" x14ac:dyDescent="0.2">
      <c r="B121" s="2" t="s">
        <v>121</v>
      </c>
      <c r="C121" s="3" t="str">
        <f t="shared" si="3"/>
        <v>@commute</v>
      </c>
      <c r="D121" s="3" t="str">
        <f t="shared" si="4"/>
        <v>market-data-chartjs</v>
      </c>
      <c r="E121" s="3" t="str">
        <f t="shared" si="5"/>
        <v>v2.3.1</v>
      </c>
      <c r="F121" t="str">
        <f>IF(COUNTIFS('[1]25 November'!$E:$E,$D121)&gt;0, "NEW FINDING", IF(COUNTIFS('[1]20 September New Socket'!E:E,$D121)&gt;0,"PREVOUS REPORT","N/A"))</f>
        <v>N/A</v>
      </c>
    </row>
    <row r="122" spans="1:6" x14ac:dyDescent="0.2">
      <c r="A122" s="1">
        <v>45986</v>
      </c>
      <c r="B122" s="2" t="s">
        <v>122</v>
      </c>
      <c r="C122" s="3" t="str">
        <f t="shared" si="3"/>
        <v>@dev-blinq</v>
      </c>
      <c r="D122" s="3" t="str">
        <f t="shared" si="4"/>
        <v>ai-qa-logic</v>
      </c>
      <c r="E122" s="3" t="str">
        <f t="shared" si="5"/>
        <v>v1.0.19</v>
      </c>
      <c r="F122" t="str">
        <f>IF(COUNTIFS('[1]25 November'!$E:$E,$D122)&gt;0, "NEW FINDING", IF(COUNTIFS('[1]20 September New Socket'!E:E,$D122)&gt;0,"PREVOUS REPORT","N/A"))</f>
        <v>NEW FINDING</v>
      </c>
    </row>
    <row r="123" spans="1:6" x14ac:dyDescent="0.2">
      <c r="B123" s="2" t="s">
        <v>123</v>
      </c>
      <c r="C123" s="3" t="str">
        <f t="shared" si="3"/>
        <v>@dev-blinq</v>
      </c>
      <c r="D123" s="3" t="str">
        <f t="shared" si="4"/>
        <v>blinqioclient</v>
      </c>
      <c r="E123" s="3" t="str">
        <f t="shared" si="5"/>
        <v>v1.0.21</v>
      </c>
      <c r="F123" t="str">
        <f>IF(COUNTIFS('[1]25 November'!$E:$E,$D123)&gt;0, "NEW FINDING", IF(COUNTIFS('[1]20 September New Socket'!E:E,$D123)&gt;0,"PREVOUS REPORT","N/A"))</f>
        <v>N/A</v>
      </c>
    </row>
    <row r="124" spans="1:6" x14ac:dyDescent="0.2">
      <c r="A124" s="1">
        <v>45986</v>
      </c>
      <c r="B124" s="2" t="s">
        <v>124</v>
      </c>
      <c r="C124" s="3" t="str">
        <f t="shared" si="3"/>
        <v>@dev-blinq</v>
      </c>
      <c r="D124" s="3" t="str">
        <f t="shared" si="4"/>
        <v>cucumber_client</v>
      </c>
      <c r="E124" s="3" t="str">
        <f t="shared" si="5"/>
        <v>v1.0.738</v>
      </c>
      <c r="F124" t="str">
        <f>IF(COUNTIFS('[1]25 November'!$E:$E,$D124)&gt;0, "NEW FINDING", IF(COUNTIFS('[1]20 September New Socket'!E:E,$D124)&gt;0,"PREVOUS REPORT","N/A"))</f>
        <v>NEW FINDING</v>
      </c>
    </row>
    <row r="125" spans="1:6" x14ac:dyDescent="0.2">
      <c r="B125" s="2" t="s">
        <v>125</v>
      </c>
      <c r="C125" s="3" t="str">
        <f t="shared" si="3"/>
        <v>@dev-blinq</v>
      </c>
      <c r="D125" s="3" t="str">
        <f t="shared" si="4"/>
        <v>cucumber-js</v>
      </c>
      <c r="E125" s="3" t="str">
        <f t="shared" si="5"/>
        <v>v1.0.131</v>
      </c>
      <c r="F125" t="str">
        <f>IF(COUNTIFS('[1]25 November'!$E:$E,$D125)&gt;0, "NEW FINDING", IF(COUNTIFS('[1]20 September New Socket'!E:E,$D125)&gt;0,"PREVOUS REPORT","N/A"))</f>
        <v>N/A</v>
      </c>
    </row>
    <row r="126" spans="1:6" x14ac:dyDescent="0.2">
      <c r="B126" s="2" t="s">
        <v>126</v>
      </c>
      <c r="C126" s="3" t="str">
        <f t="shared" si="3"/>
        <v>@dev-blinq</v>
      </c>
      <c r="D126" s="3" t="str">
        <f t="shared" si="4"/>
        <v>ui-systems</v>
      </c>
      <c r="E126" s="3" t="str">
        <f t="shared" si="5"/>
        <v>v1.0.93</v>
      </c>
      <c r="F126" t="str">
        <f>IF(COUNTIFS('[1]25 November'!$E:$E,$D126)&gt;0, "NEW FINDING", IF(COUNTIFS('[1]20 September New Socket'!E:E,$D126)&gt;0,"PREVOUS REPORT","N/A"))</f>
        <v>N/A</v>
      </c>
    </row>
    <row r="127" spans="1:6" x14ac:dyDescent="0.2">
      <c r="A127" s="1">
        <v>45986</v>
      </c>
      <c r="B127" s="2" t="s">
        <v>127</v>
      </c>
      <c r="C127" s="3" t="str">
        <f t="shared" si="3"/>
        <v>@ensdomains</v>
      </c>
      <c r="D127" s="3" t="str">
        <f t="shared" si="4"/>
        <v>address-encoder</v>
      </c>
      <c r="E127" s="3" t="str">
        <f t="shared" si="5"/>
        <v>v1.1.5</v>
      </c>
      <c r="F127" t="str">
        <f>IF(COUNTIFS('[1]25 November'!$E:$E,$D127)&gt;0, "NEW FINDING", IF(COUNTIFS('[1]20 September New Socket'!E:E,$D127)&gt;0,"PREVOUS REPORT","N/A"))</f>
        <v>NEW FINDING</v>
      </c>
    </row>
    <row r="128" spans="1:6" x14ac:dyDescent="0.2">
      <c r="A128" s="1">
        <v>45986</v>
      </c>
      <c r="B128" s="2" t="s">
        <v>128</v>
      </c>
      <c r="C128" s="3" t="str">
        <f t="shared" si="3"/>
        <v>@ensdomains</v>
      </c>
      <c r="D128" s="3" t="str">
        <f t="shared" si="4"/>
        <v>blacklist</v>
      </c>
      <c r="E128" s="3" t="str">
        <f t="shared" si="5"/>
        <v>v1.0.1</v>
      </c>
      <c r="F128" t="str">
        <f>IF(COUNTIFS('[1]25 November'!$E:$E,$D128)&gt;0, "NEW FINDING", IF(COUNTIFS('[1]20 September New Socket'!E:E,$D128)&gt;0,"PREVOUS REPORT","N/A"))</f>
        <v>NEW FINDING</v>
      </c>
    </row>
    <row r="129" spans="1:6" x14ac:dyDescent="0.2">
      <c r="A129" s="1">
        <v>45986</v>
      </c>
      <c r="B129" s="2" t="s">
        <v>129</v>
      </c>
      <c r="C129" s="3" t="str">
        <f t="shared" ref="C129:C192" si="6">IF(LEFT(B129,1)="@",LEFT(B129,FIND("/",B129)-1),"")</f>
        <v>@ensdomains</v>
      </c>
      <c r="D129" s="3" t="str">
        <f t="shared" ref="D129:D192" si="7">IF(LEFT(B129,1)="@",
    MID(
        B129,
        FIND("/",B129)+1,
        IFERROR(
            FIND("@",B129,FIND("/",B129)+1) - FIND("/",B129) - 1,
            LEN(B129) - FIND("/",B129)
        )
    ),
    IFERROR(LEFT(B129,FIND("@",B129)-1), B129)
)</f>
        <v>buffer</v>
      </c>
      <c r="E129" s="3" t="str">
        <f t="shared" ref="E129:E192" si="8">RIGHT(B129,LEN(B129)-FIND("@",B129,LEN(B129)-LEN(SUBSTITUTE(B129,"@",""))+1))</f>
        <v>v0.1.2</v>
      </c>
      <c r="F129" t="str">
        <f>IF(COUNTIFS('[1]25 November'!$E:$E,$D129)&gt;0, "NEW FINDING", IF(COUNTIFS('[1]20 September New Socket'!E:E,$D129)&gt;0,"PREVOUS REPORT","N/A"))</f>
        <v>NEW FINDING</v>
      </c>
    </row>
    <row r="130" spans="1:6" x14ac:dyDescent="0.2">
      <c r="A130" s="1">
        <v>45986</v>
      </c>
      <c r="B130" s="2" t="s">
        <v>130</v>
      </c>
      <c r="C130" s="3" t="str">
        <f t="shared" si="6"/>
        <v>@ensdomains</v>
      </c>
      <c r="D130" s="3" t="str">
        <f t="shared" si="7"/>
        <v>ccip-read-cf-worker</v>
      </c>
      <c r="E130" s="3" t="str">
        <f t="shared" si="8"/>
        <v>v0.0.4</v>
      </c>
      <c r="F130" t="str">
        <f>IF(COUNTIFS('[1]25 November'!$E:$E,$D130)&gt;0, "NEW FINDING", IF(COUNTIFS('[1]20 September New Socket'!E:E,$D130)&gt;0,"PREVOUS REPORT","N/A"))</f>
        <v>NEW FINDING</v>
      </c>
    </row>
    <row r="131" spans="1:6" x14ac:dyDescent="0.2">
      <c r="A131" s="1">
        <v>45986</v>
      </c>
      <c r="B131" s="2" t="s">
        <v>131</v>
      </c>
      <c r="C131" s="3" t="str">
        <f t="shared" si="6"/>
        <v>@ensdomains</v>
      </c>
      <c r="D131" s="3" t="str">
        <f t="shared" si="7"/>
        <v>ccip-read-dns-gateway</v>
      </c>
      <c r="E131" s="3" t="str">
        <f t="shared" si="8"/>
        <v>v0.1.1</v>
      </c>
      <c r="F131" t="str">
        <f>IF(COUNTIFS('[1]25 November'!$E:$E,$D131)&gt;0, "NEW FINDING", IF(COUNTIFS('[1]20 September New Socket'!E:E,$D131)&gt;0,"PREVOUS REPORT","N/A"))</f>
        <v>NEW FINDING</v>
      </c>
    </row>
    <row r="132" spans="1:6" x14ac:dyDescent="0.2">
      <c r="A132" s="1">
        <v>45986</v>
      </c>
      <c r="B132" s="2" t="s">
        <v>132</v>
      </c>
      <c r="C132" s="3" t="str">
        <f t="shared" si="6"/>
        <v>@ensdomains</v>
      </c>
      <c r="D132" s="3" t="str">
        <f t="shared" si="7"/>
        <v>ccip-read-router</v>
      </c>
      <c r="E132" s="3" t="str">
        <f t="shared" si="8"/>
        <v>v0.0.7</v>
      </c>
      <c r="F132" t="str">
        <f>IF(COUNTIFS('[1]25 November'!$E:$E,$D132)&gt;0, "NEW FINDING", IF(COUNTIFS('[1]20 September New Socket'!E:E,$D132)&gt;0,"PREVOUS REPORT","N/A"))</f>
        <v>NEW FINDING</v>
      </c>
    </row>
    <row r="133" spans="1:6" x14ac:dyDescent="0.2">
      <c r="A133" s="1">
        <v>45986</v>
      </c>
      <c r="B133" s="2" t="s">
        <v>133</v>
      </c>
      <c r="C133" s="3" t="str">
        <f t="shared" si="6"/>
        <v>@ensdomains</v>
      </c>
      <c r="D133" s="3" t="str">
        <f t="shared" si="7"/>
        <v>ccip-read-worker-viem</v>
      </c>
      <c r="E133" s="3" t="str">
        <f t="shared" si="8"/>
        <v>v0.0.4</v>
      </c>
      <c r="F133" t="str">
        <f>IF(COUNTIFS('[1]25 November'!$E:$E,$D133)&gt;0, "NEW FINDING", IF(COUNTIFS('[1]20 September New Socket'!E:E,$D133)&gt;0,"PREVOUS REPORT","N/A"))</f>
        <v>NEW FINDING</v>
      </c>
    </row>
    <row r="134" spans="1:6" x14ac:dyDescent="0.2">
      <c r="A134" s="1">
        <v>45986</v>
      </c>
      <c r="B134" s="2" t="s">
        <v>134</v>
      </c>
      <c r="C134" s="3" t="str">
        <f t="shared" si="6"/>
        <v>@ensdomains</v>
      </c>
      <c r="D134" s="3" t="str">
        <f t="shared" si="7"/>
        <v>content-hash</v>
      </c>
      <c r="E134" s="3" t="str">
        <f t="shared" si="8"/>
        <v>v3.0.1</v>
      </c>
      <c r="F134" t="str">
        <f>IF(COUNTIFS('[1]25 November'!$E:$E,$D134)&gt;0, "NEW FINDING", IF(COUNTIFS('[1]20 September New Socket'!E:E,$D134)&gt;0,"PREVOUS REPORT","N/A"))</f>
        <v>NEW FINDING</v>
      </c>
    </row>
    <row r="135" spans="1:6" x14ac:dyDescent="0.2">
      <c r="A135" s="1">
        <v>45986</v>
      </c>
      <c r="B135" s="2" t="s">
        <v>135</v>
      </c>
      <c r="C135" s="3" t="str">
        <f t="shared" si="6"/>
        <v>@ensdomains</v>
      </c>
      <c r="D135" s="3" t="str">
        <f t="shared" si="7"/>
        <v>curvearithmetics</v>
      </c>
      <c r="E135" s="3" t="str">
        <f t="shared" si="8"/>
        <v>v1.0.1</v>
      </c>
      <c r="F135" t="str">
        <f>IF(COUNTIFS('[1]25 November'!$E:$E,$D135)&gt;0, "NEW FINDING", IF(COUNTIFS('[1]20 September New Socket'!E:E,$D135)&gt;0,"PREVOUS REPORT","N/A"))</f>
        <v>NEW FINDING</v>
      </c>
    </row>
    <row r="136" spans="1:6" x14ac:dyDescent="0.2">
      <c r="A136" s="1">
        <v>45986</v>
      </c>
      <c r="B136" s="2" t="s">
        <v>136</v>
      </c>
      <c r="C136" s="3" t="str">
        <f t="shared" si="6"/>
        <v>@ensdomains</v>
      </c>
      <c r="D136" s="3" t="str">
        <f t="shared" si="7"/>
        <v>cypress-metamask</v>
      </c>
      <c r="E136" s="3" t="str">
        <f t="shared" si="8"/>
        <v>v1.2.1</v>
      </c>
      <c r="F136" t="str">
        <f>IF(COUNTIFS('[1]25 November'!$E:$E,$D136)&gt;0, "NEW FINDING", IF(COUNTIFS('[1]20 September New Socket'!E:E,$D136)&gt;0,"PREVOUS REPORT","N/A"))</f>
        <v>NEW FINDING</v>
      </c>
    </row>
    <row r="137" spans="1:6" x14ac:dyDescent="0.2">
      <c r="A137" s="1">
        <v>45986</v>
      </c>
      <c r="B137" s="2" t="s">
        <v>137</v>
      </c>
      <c r="C137" s="3" t="str">
        <f t="shared" si="6"/>
        <v>@ensdomains</v>
      </c>
      <c r="D137" s="3" t="str">
        <f t="shared" si="7"/>
        <v>dnsprovejs</v>
      </c>
      <c r="E137" s="3" t="str">
        <f t="shared" si="8"/>
        <v>v0.5.3</v>
      </c>
      <c r="F137" t="str">
        <f>IF(COUNTIFS('[1]25 November'!$E:$E,$D137)&gt;0, "NEW FINDING", IF(COUNTIFS('[1]20 September New Socket'!E:E,$D137)&gt;0,"PREVOUS REPORT","N/A"))</f>
        <v>NEW FINDING</v>
      </c>
    </row>
    <row r="138" spans="1:6" x14ac:dyDescent="0.2">
      <c r="A138" s="1">
        <v>45986</v>
      </c>
      <c r="B138" s="2" t="s">
        <v>138</v>
      </c>
      <c r="C138" s="3" t="str">
        <f t="shared" si="6"/>
        <v>@ensdomains</v>
      </c>
      <c r="D138" s="3" t="str">
        <f t="shared" si="7"/>
        <v>dnssec-oracle-anchors</v>
      </c>
      <c r="E138" s="3" t="str">
        <f t="shared" si="8"/>
        <v>v0.0.2</v>
      </c>
      <c r="F138" t="str">
        <f>IF(COUNTIFS('[1]25 November'!$E:$E,$D138)&gt;0, "NEW FINDING", IF(COUNTIFS('[1]20 September New Socket'!E:E,$D138)&gt;0,"PREVOUS REPORT","N/A"))</f>
        <v>NEW FINDING</v>
      </c>
    </row>
    <row r="139" spans="1:6" x14ac:dyDescent="0.2">
      <c r="A139" s="1">
        <v>45986</v>
      </c>
      <c r="B139" s="2" t="s">
        <v>139</v>
      </c>
      <c r="C139" s="3" t="str">
        <f t="shared" si="6"/>
        <v>@ensdomains</v>
      </c>
      <c r="D139" s="3" t="str">
        <f t="shared" si="7"/>
        <v>dnssecoraclejs</v>
      </c>
      <c r="E139" s="3" t="str">
        <f t="shared" si="8"/>
        <v>v0.2.9</v>
      </c>
      <c r="F139" t="str">
        <f>IF(COUNTIFS('[1]25 November'!$E:$E,$D139)&gt;0, "NEW FINDING", IF(COUNTIFS('[1]20 September New Socket'!E:E,$D139)&gt;0,"PREVOUS REPORT","N/A"))</f>
        <v>NEW FINDING</v>
      </c>
    </row>
    <row r="140" spans="1:6" x14ac:dyDescent="0.2">
      <c r="A140" s="1">
        <v>45986</v>
      </c>
      <c r="B140" s="2" t="s">
        <v>140</v>
      </c>
      <c r="C140" s="3" t="str">
        <f t="shared" si="6"/>
        <v>@ensdomains</v>
      </c>
      <c r="D140" s="3" t="str">
        <f t="shared" si="7"/>
        <v>durin</v>
      </c>
      <c r="E140" s="3" t="str">
        <f t="shared" si="8"/>
        <v>v0.1.2</v>
      </c>
      <c r="F140" t="str">
        <f>IF(COUNTIFS('[1]25 November'!$E:$E,$D140)&gt;0, "NEW FINDING", IF(COUNTIFS('[1]20 September New Socket'!E:E,$D140)&gt;0,"PREVOUS REPORT","N/A"))</f>
        <v>NEW FINDING</v>
      </c>
    </row>
    <row r="141" spans="1:6" x14ac:dyDescent="0.2">
      <c r="A141" s="1">
        <v>45986</v>
      </c>
      <c r="B141" s="2" t="s">
        <v>141</v>
      </c>
      <c r="C141" s="3" t="str">
        <f t="shared" si="6"/>
        <v>@ensdomains</v>
      </c>
      <c r="D141" s="3" t="str">
        <f t="shared" si="7"/>
        <v>durin-middleware</v>
      </c>
      <c r="E141" s="3" t="str">
        <f t="shared" si="8"/>
        <v>v0.0.2</v>
      </c>
      <c r="F141" t="str">
        <f>IF(COUNTIFS('[1]25 November'!$E:$E,$D141)&gt;0, "NEW FINDING", IF(COUNTIFS('[1]20 September New Socket'!E:E,$D141)&gt;0,"PREVOUS REPORT","N/A"))</f>
        <v>NEW FINDING</v>
      </c>
    </row>
    <row r="142" spans="1:6" x14ac:dyDescent="0.2">
      <c r="A142" s="1">
        <v>45986</v>
      </c>
      <c r="B142" s="2" t="s">
        <v>142</v>
      </c>
      <c r="C142" s="3" t="str">
        <f t="shared" si="6"/>
        <v>@ensdomains</v>
      </c>
      <c r="D142" s="3" t="str">
        <f t="shared" si="7"/>
        <v>ens-archived-contracts</v>
      </c>
      <c r="E142" s="3" t="str">
        <f t="shared" si="8"/>
        <v>v0.0.3</v>
      </c>
      <c r="F142" t="str">
        <f>IF(COUNTIFS('[1]25 November'!$E:$E,$D142)&gt;0, "NEW FINDING", IF(COUNTIFS('[1]20 September New Socket'!E:E,$D142)&gt;0,"PREVOUS REPORT","N/A"))</f>
        <v>NEW FINDING</v>
      </c>
    </row>
    <row r="143" spans="1:6" x14ac:dyDescent="0.2">
      <c r="A143" s="1">
        <v>45986</v>
      </c>
      <c r="B143" s="2" t="s">
        <v>143</v>
      </c>
      <c r="C143" s="3" t="str">
        <f t="shared" si="6"/>
        <v>@ensdomains</v>
      </c>
      <c r="D143" s="3" t="str">
        <f t="shared" si="7"/>
        <v>ens-avatar</v>
      </c>
      <c r="E143" s="3" t="str">
        <f t="shared" si="8"/>
        <v>v1.0.4</v>
      </c>
      <c r="F143" t="str">
        <f>IF(COUNTIFS('[1]25 November'!$E:$E,$D143)&gt;0, "NEW FINDING", IF(COUNTIFS('[1]20 September New Socket'!E:E,$D143)&gt;0,"PREVOUS REPORT","N/A"))</f>
        <v>NEW FINDING</v>
      </c>
    </row>
    <row r="144" spans="1:6" x14ac:dyDescent="0.2">
      <c r="A144" s="1">
        <v>45986</v>
      </c>
      <c r="B144" s="2" t="s">
        <v>144</v>
      </c>
      <c r="C144" s="3" t="str">
        <f t="shared" si="6"/>
        <v>@ensdomains</v>
      </c>
      <c r="D144" s="3" t="str">
        <f t="shared" si="7"/>
        <v>ens-contracts</v>
      </c>
      <c r="E144" s="3" t="str">
        <f t="shared" si="8"/>
        <v>v1.6.1</v>
      </c>
      <c r="F144" t="str">
        <f>IF(COUNTIFS('[1]25 November'!$E:$E,$D144)&gt;0, "NEW FINDING", IF(COUNTIFS('[1]20 September New Socket'!E:E,$D144)&gt;0,"PREVOUS REPORT","N/A"))</f>
        <v>NEW FINDING</v>
      </c>
    </row>
    <row r="145" spans="1:6" x14ac:dyDescent="0.2">
      <c r="A145" s="1">
        <v>45986</v>
      </c>
      <c r="B145" s="2" t="s">
        <v>145</v>
      </c>
      <c r="C145" s="3" t="str">
        <f t="shared" si="6"/>
        <v>@ensdomains</v>
      </c>
      <c r="D145" s="3" t="str">
        <f t="shared" si="7"/>
        <v>ens-test-env</v>
      </c>
      <c r="E145" s="3" t="str">
        <f t="shared" si="8"/>
        <v>v1.0.2</v>
      </c>
      <c r="F145" t="str">
        <f>IF(COUNTIFS('[1]25 November'!$E:$E,$D145)&gt;0, "NEW FINDING", IF(COUNTIFS('[1]20 September New Socket'!E:E,$D145)&gt;0,"PREVOUS REPORT","N/A"))</f>
        <v>NEW FINDING</v>
      </c>
    </row>
    <row r="146" spans="1:6" x14ac:dyDescent="0.2">
      <c r="A146" s="1">
        <v>45986</v>
      </c>
      <c r="B146" s="2" t="s">
        <v>146</v>
      </c>
      <c r="C146" s="3" t="str">
        <f t="shared" si="6"/>
        <v>@ensdomains</v>
      </c>
      <c r="D146" s="3" t="str">
        <f t="shared" si="7"/>
        <v>ens-validation</v>
      </c>
      <c r="E146" s="3" t="str">
        <f t="shared" si="8"/>
        <v>v0.1.1</v>
      </c>
      <c r="F146" t="str">
        <f>IF(COUNTIFS('[1]25 November'!$E:$E,$D146)&gt;0, "NEW FINDING", IF(COUNTIFS('[1]20 September New Socket'!E:E,$D146)&gt;0,"PREVOUS REPORT","N/A"))</f>
        <v>NEW FINDING</v>
      </c>
    </row>
    <row r="147" spans="1:6" x14ac:dyDescent="0.2">
      <c r="A147" s="1">
        <v>45986</v>
      </c>
      <c r="B147" s="2" t="s">
        <v>147</v>
      </c>
      <c r="C147" s="3" t="str">
        <f t="shared" si="6"/>
        <v>@ensdomains</v>
      </c>
      <c r="D147" s="3" t="str">
        <f t="shared" si="7"/>
        <v>ensjs</v>
      </c>
      <c r="E147" s="3" t="str">
        <f t="shared" si="8"/>
        <v>v4.0.3</v>
      </c>
      <c r="F147" t="str">
        <f>IF(COUNTIFS('[1]25 November'!$E:$E,$D147)&gt;0, "NEW FINDING", IF(COUNTIFS('[1]20 September New Socket'!E:E,$D147)&gt;0,"PREVOUS REPORT","N/A"))</f>
        <v>NEW FINDING</v>
      </c>
    </row>
    <row r="148" spans="1:6" x14ac:dyDescent="0.2">
      <c r="A148" s="1">
        <v>45986</v>
      </c>
      <c r="B148" s="2" t="s">
        <v>148</v>
      </c>
      <c r="C148" s="3" t="str">
        <f t="shared" si="6"/>
        <v>@ensdomains</v>
      </c>
      <c r="D148" s="3" t="str">
        <f t="shared" si="7"/>
        <v>ensjs-react</v>
      </c>
      <c r="E148" s="3" t="str">
        <f t="shared" si="8"/>
        <v>v0.0.5</v>
      </c>
      <c r="F148" t="str">
        <f>IF(COUNTIFS('[1]25 November'!$E:$E,$D148)&gt;0, "NEW FINDING", IF(COUNTIFS('[1]20 September New Socket'!E:E,$D148)&gt;0,"PREVOUS REPORT","N/A"))</f>
        <v>NEW FINDING</v>
      </c>
    </row>
    <row r="149" spans="1:6" x14ac:dyDescent="0.2">
      <c r="A149" s="1">
        <v>45986</v>
      </c>
      <c r="B149" s="2" t="s">
        <v>149</v>
      </c>
      <c r="C149" s="3" t="str">
        <f t="shared" si="6"/>
        <v>@ensdomains</v>
      </c>
      <c r="D149" s="3" t="str">
        <f t="shared" si="7"/>
        <v>eth-ens-namehash</v>
      </c>
      <c r="E149" s="3" t="str">
        <f t="shared" si="8"/>
        <v>v2.0.16</v>
      </c>
      <c r="F149" t="str">
        <f>IF(COUNTIFS('[1]25 November'!$E:$E,$D149)&gt;0, "NEW FINDING", IF(COUNTIFS('[1]20 September New Socket'!E:E,$D149)&gt;0,"PREVOUS REPORT","N/A"))</f>
        <v>NEW FINDING</v>
      </c>
    </row>
    <row r="150" spans="1:6" x14ac:dyDescent="0.2">
      <c r="A150" s="1">
        <v>45986</v>
      </c>
      <c r="B150" s="2" t="s">
        <v>150</v>
      </c>
      <c r="C150" s="3" t="str">
        <f t="shared" si="6"/>
        <v>@ensdomains</v>
      </c>
      <c r="D150" s="3" t="str">
        <f t="shared" si="7"/>
        <v>hackathon-registrar</v>
      </c>
      <c r="E150" s="3" t="str">
        <f t="shared" si="8"/>
        <v>v1.0.5</v>
      </c>
      <c r="F150" t="str">
        <f>IF(COUNTIFS('[1]25 November'!$E:$E,$D150)&gt;0, "NEW FINDING", IF(COUNTIFS('[1]20 September New Socket'!E:E,$D150)&gt;0,"PREVOUS REPORT","N/A"))</f>
        <v>NEW FINDING</v>
      </c>
    </row>
    <row r="151" spans="1:6" x14ac:dyDescent="0.2">
      <c r="A151" s="1">
        <v>45986</v>
      </c>
      <c r="B151" s="2" t="s">
        <v>151</v>
      </c>
      <c r="C151" s="3" t="str">
        <f t="shared" si="6"/>
        <v>@ensdomains</v>
      </c>
      <c r="D151" s="3" t="str">
        <f t="shared" si="7"/>
        <v>hardhat-chai-matchers-viem</v>
      </c>
      <c r="E151" s="3" t="str">
        <f t="shared" si="8"/>
        <v>v0.1.15</v>
      </c>
      <c r="F151" t="str">
        <f>IF(COUNTIFS('[1]25 November'!$E:$E,$D151)&gt;0, "NEW FINDING", IF(COUNTIFS('[1]20 September New Socket'!E:E,$D151)&gt;0,"PREVOUS REPORT","N/A"))</f>
        <v>NEW FINDING</v>
      </c>
    </row>
    <row r="152" spans="1:6" x14ac:dyDescent="0.2">
      <c r="A152" s="1">
        <v>45986</v>
      </c>
      <c r="B152" s="2" t="s">
        <v>152</v>
      </c>
      <c r="C152" s="3" t="str">
        <f t="shared" si="6"/>
        <v>@ensdomains</v>
      </c>
      <c r="D152" s="3" t="str">
        <f t="shared" si="7"/>
        <v>hardhat-toolbox-viem-extended</v>
      </c>
      <c r="E152" s="3" t="str">
        <f t="shared" si="8"/>
        <v>v0.0.6</v>
      </c>
      <c r="F152" t="str">
        <f>IF(COUNTIFS('[1]25 November'!$E:$E,$D152)&gt;0, "NEW FINDING", IF(COUNTIFS('[1]20 September New Socket'!E:E,$D152)&gt;0,"PREVOUS REPORT","N/A"))</f>
        <v>NEW FINDING</v>
      </c>
    </row>
    <row r="153" spans="1:6" x14ac:dyDescent="0.2">
      <c r="A153" s="1">
        <v>45986</v>
      </c>
      <c r="B153" s="2" t="s">
        <v>153</v>
      </c>
      <c r="C153" s="3" t="str">
        <f t="shared" si="6"/>
        <v>@ensdomains</v>
      </c>
      <c r="D153" s="3" t="str">
        <f t="shared" si="7"/>
        <v>mock</v>
      </c>
      <c r="E153" s="3" t="str">
        <f t="shared" si="8"/>
        <v>v2.1.52</v>
      </c>
      <c r="F153" t="str">
        <f>IF(COUNTIFS('[1]25 November'!$E:$E,$D153)&gt;0, "NEW FINDING", IF(COUNTIFS('[1]20 September New Socket'!E:E,$D153)&gt;0,"PREVOUS REPORT","N/A"))</f>
        <v>NEW FINDING</v>
      </c>
    </row>
    <row r="154" spans="1:6" x14ac:dyDescent="0.2">
      <c r="A154" s="1">
        <v>45986</v>
      </c>
      <c r="B154" s="2" t="s">
        <v>154</v>
      </c>
      <c r="C154" s="3" t="str">
        <f t="shared" si="6"/>
        <v>@ensdomains</v>
      </c>
      <c r="D154" s="3" t="str">
        <f t="shared" si="7"/>
        <v>name-wrapper</v>
      </c>
      <c r="E154" s="3" t="str">
        <f t="shared" si="8"/>
        <v>v1.0.1</v>
      </c>
      <c r="F154" t="str">
        <f>IF(COUNTIFS('[1]25 November'!$E:$E,$D154)&gt;0, "NEW FINDING", IF(COUNTIFS('[1]20 September New Socket'!E:E,$D154)&gt;0,"PREVOUS REPORT","N/A"))</f>
        <v>NEW FINDING</v>
      </c>
    </row>
    <row r="155" spans="1:6" x14ac:dyDescent="0.2">
      <c r="A155" s="1">
        <v>45986</v>
      </c>
      <c r="B155" s="2" t="s">
        <v>155</v>
      </c>
      <c r="C155" s="3" t="str">
        <f t="shared" si="6"/>
        <v>@ensdomains</v>
      </c>
      <c r="D155" s="3" t="str">
        <f t="shared" si="7"/>
        <v>offchain-resolver-contracts</v>
      </c>
      <c r="E155" s="3" t="str">
        <f t="shared" si="8"/>
        <v>v0.2.2</v>
      </c>
      <c r="F155" t="str">
        <f>IF(COUNTIFS('[1]25 November'!$E:$E,$D155)&gt;0, "NEW FINDING", IF(COUNTIFS('[1]20 September New Socket'!E:E,$D155)&gt;0,"PREVOUS REPORT","N/A"))</f>
        <v>NEW FINDING</v>
      </c>
    </row>
    <row r="156" spans="1:6" x14ac:dyDescent="0.2">
      <c r="A156" s="1">
        <v>45986</v>
      </c>
      <c r="B156" s="2" t="s">
        <v>156</v>
      </c>
      <c r="C156" s="3" t="str">
        <f t="shared" si="6"/>
        <v>@ensdomains</v>
      </c>
      <c r="D156" s="3" t="str">
        <f t="shared" si="7"/>
        <v>op-resolver-contracts</v>
      </c>
      <c r="E156" s="3" t="str">
        <f t="shared" si="8"/>
        <v>v0.0.2</v>
      </c>
      <c r="F156" t="str">
        <f>IF(COUNTIFS('[1]25 November'!$E:$E,$D156)&gt;0, "NEW FINDING", IF(COUNTIFS('[1]20 September New Socket'!E:E,$D156)&gt;0,"PREVOUS REPORT","N/A"))</f>
        <v>NEW FINDING</v>
      </c>
    </row>
    <row r="157" spans="1:6" x14ac:dyDescent="0.2">
      <c r="A157" s="1">
        <v>45986</v>
      </c>
      <c r="B157" s="2" t="s">
        <v>157</v>
      </c>
      <c r="C157" s="3" t="str">
        <f t="shared" si="6"/>
        <v>@ensdomains</v>
      </c>
      <c r="D157" s="3" t="str">
        <f t="shared" si="7"/>
        <v>react-ens-address</v>
      </c>
      <c r="E157" s="3" t="str">
        <f t="shared" si="8"/>
        <v>v0.0.32</v>
      </c>
      <c r="F157" t="str">
        <f>IF(COUNTIFS('[1]25 November'!$E:$E,$D157)&gt;0, "NEW FINDING", IF(COUNTIFS('[1]20 September New Socket'!E:E,$D157)&gt;0,"PREVOUS REPORT","N/A"))</f>
        <v>NEW FINDING</v>
      </c>
    </row>
    <row r="158" spans="1:6" x14ac:dyDescent="0.2">
      <c r="A158" s="1">
        <v>45986</v>
      </c>
      <c r="B158" s="2" t="s">
        <v>158</v>
      </c>
      <c r="C158" s="3" t="str">
        <f t="shared" si="6"/>
        <v>@ensdomains</v>
      </c>
      <c r="D158" s="3" t="str">
        <f t="shared" si="7"/>
        <v>renewal</v>
      </c>
      <c r="E158" s="3" t="str">
        <f t="shared" si="8"/>
        <v>v0.0.13</v>
      </c>
      <c r="F158" t="str">
        <f>IF(COUNTIFS('[1]25 November'!$E:$E,$D158)&gt;0, "NEW FINDING", IF(COUNTIFS('[1]20 September New Socket'!E:E,$D158)&gt;0,"PREVOUS REPORT","N/A"))</f>
        <v>NEW FINDING</v>
      </c>
    </row>
    <row r="159" spans="1:6" x14ac:dyDescent="0.2">
      <c r="A159" s="1">
        <v>45986</v>
      </c>
      <c r="B159" s="2" t="s">
        <v>159</v>
      </c>
      <c r="C159" s="3" t="str">
        <f t="shared" si="6"/>
        <v>@ensdomains</v>
      </c>
      <c r="D159" s="3" t="str">
        <f t="shared" si="7"/>
        <v>renewal-widget</v>
      </c>
      <c r="E159" s="3" t="str">
        <f t="shared" si="8"/>
        <v>v0.1.10</v>
      </c>
      <c r="F159" t="str">
        <f>IF(COUNTIFS('[1]25 November'!$E:$E,$D159)&gt;0, "NEW FINDING", IF(COUNTIFS('[1]20 September New Socket'!E:E,$D159)&gt;0,"PREVOUS REPORT","N/A"))</f>
        <v>NEW FINDING</v>
      </c>
    </row>
    <row r="160" spans="1:6" x14ac:dyDescent="0.2">
      <c r="A160" s="1">
        <v>45986</v>
      </c>
      <c r="B160" s="2" t="s">
        <v>160</v>
      </c>
      <c r="C160" s="3" t="str">
        <f t="shared" si="6"/>
        <v>@ensdomains</v>
      </c>
      <c r="D160" s="3" t="str">
        <f t="shared" si="7"/>
        <v>reverse-records</v>
      </c>
      <c r="E160" s="3" t="str">
        <f t="shared" si="8"/>
        <v>v1.0.1</v>
      </c>
      <c r="F160" t="str">
        <f>IF(COUNTIFS('[1]25 November'!$E:$E,$D160)&gt;0, "NEW FINDING", IF(COUNTIFS('[1]20 September New Socket'!E:E,$D160)&gt;0,"PREVOUS REPORT","N/A"))</f>
        <v>NEW FINDING</v>
      </c>
    </row>
    <row r="161" spans="1:6" x14ac:dyDescent="0.2">
      <c r="A161" s="1">
        <v>45986</v>
      </c>
      <c r="B161" s="2" t="s">
        <v>161</v>
      </c>
      <c r="C161" s="3" t="str">
        <f t="shared" si="6"/>
        <v>@ensdomains</v>
      </c>
      <c r="D161" s="3" t="str">
        <f t="shared" si="7"/>
        <v>server-analytics</v>
      </c>
      <c r="E161" s="3" t="str">
        <f t="shared" si="8"/>
        <v>v0.0.2</v>
      </c>
      <c r="F161" t="str">
        <f>IF(COUNTIFS('[1]25 November'!$E:$E,$D161)&gt;0, "NEW FINDING", IF(COUNTIFS('[1]20 September New Socket'!E:E,$D161)&gt;0,"PREVOUS REPORT","N/A"))</f>
        <v>NEW FINDING</v>
      </c>
    </row>
    <row r="162" spans="1:6" x14ac:dyDescent="0.2">
      <c r="A162" s="1">
        <v>45986</v>
      </c>
      <c r="B162" s="2" t="s">
        <v>162</v>
      </c>
      <c r="C162" s="3" t="str">
        <f t="shared" si="6"/>
        <v>@ensdomains</v>
      </c>
      <c r="D162" s="3" t="str">
        <f t="shared" si="7"/>
        <v>solsha1</v>
      </c>
      <c r="E162" s="3" t="str">
        <f t="shared" si="8"/>
        <v>v0.0.4</v>
      </c>
      <c r="F162" t="str">
        <f>IF(COUNTIFS('[1]25 November'!$E:$E,$D162)&gt;0, "NEW FINDING", IF(COUNTIFS('[1]20 September New Socket'!E:E,$D162)&gt;0,"PREVOUS REPORT","N/A"))</f>
        <v>NEW FINDING</v>
      </c>
    </row>
    <row r="163" spans="1:6" x14ac:dyDescent="0.2">
      <c r="A163" s="1">
        <v>45986</v>
      </c>
      <c r="B163" s="2" t="s">
        <v>163</v>
      </c>
      <c r="C163" s="3" t="str">
        <f t="shared" si="6"/>
        <v>@ensdomains</v>
      </c>
      <c r="D163" s="3" t="str">
        <f t="shared" si="7"/>
        <v>subdomain-registrar</v>
      </c>
      <c r="E163" s="3" t="str">
        <f t="shared" si="8"/>
        <v>v0.2.4</v>
      </c>
      <c r="F163" t="str">
        <f>IF(COUNTIFS('[1]25 November'!$E:$E,$D163)&gt;0, "NEW FINDING", IF(COUNTIFS('[1]20 September New Socket'!E:E,$D163)&gt;0,"PREVOUS REPORT","N/A"))</f>
        <v>NEW FINDING</v>
      </c>
    </row>
    <row r="164" spans="1:6" x14ac:dyDescent="0.2">
      <c r="A164" s="1">
        <v>45986</v>
      </c>
      <c r="B164" s="2" t="s">
        <v>164</v>
      </c>
      <c r="C164" s="3" t="str">
        <f t="shared" si="6"/>
        <v>@ensdomains</v>
      </c>
      <c r="D164" s="3" t="str">
        <f t="shared" si="7"/>
        <v>test-utils</v>
      </c>
      <c r="E164" s="3" t="str">
        <f t="shared" si="8"/>
        <v>v1.3.1</v>
      </c>
      <c r="F164" t="str">
        <f>IF(COUNTIFS('[1]25 November'!$E:$E,$D164)&gt;0, "NEW FINDING", IF(COUNTIFS('[1]20 September New Socket'!E:E,$D164)&gt;0,"PREVOUS REPORT","N/A"))</f>
        <v>NEW FINDING</v>
      </c>
    </row>
    <row r="165" spans="1:6" x14ac:dyDescent="0.2">
      <c r="A165" s="1">
        <v>45986</v>
      </c>
      <c r="B165" s="2" t="s">
        <v>165</v>
      </c>
      <c r="C165" s="3" t="str">
        <f t="shared" si="6"/>
        <v>@ensdomains</v>
      </c>
      <c r="D165" s="3" t="str">
        <f t="shared" si="7"/>
        <v>thorin</v>
      </c>
      <c r="E165" s="3" t="str">
        <f t="shared" si="8"/>
        <v>v0.6.51</v>
      </c>
      <c r="F165" t="str">
        <f>IF(COUNTIFS('[1]25 November'!$E:$E,$D165)&gt;0, "NEW FINDING", IF(COUNTIFS('[1]20 September New Socket'!E:E,$D165)&gt;0,"PREVOUS REPORT","N/A"))</f>
        <v>NEW FINDING</v>
      </c>
    </row>
    <row r="166" spans="1:6" x14ac:dyDescent="0.2">
      <c r="A166" s="1">
        <v>45986</v>
      </c>
      <c r="B166" s="2" t="s">
        <v>166</v>
      </c>
      <c r="C166" s="3" t="str">
        <f t="shared" si="6"/>
        <v>@ensdomains</v>
      </c>
      <c r="D166" s="3" t="str">
        <f t="shared" si="7"/>
        <v>ui</v>
      </c>
      <c r="E166" s="3" t="str">
        <f t="shared" si="8"/>
        <v>v3.4.6</v>
      </c>
      <c r="F166" t="str">
        <f>IF(COUNTIFS('[1]25 November'!$E:$E,$D166)&gt;0, "NEW FINDING", IF(COUNTIFS('[1]20 September New Socket'!E:E,$D166)&gt;0,"PREVOUS REPORT","N/A"))</f>
        <v>NEW FINDING</v>
      </c>
    </row>
    <row r="167" spans="1:6" x14ac:dyDescent="0.2">
      <c r="A167" s="1">
        <v>45986</v>
      </c>
      <c r="B167" s="2" t="s">
        <v>167</v>
      </c>
      <c r="C167" s="3" t="str">
        <f t="shared" si="6"/>
        <v>@ensdomains</v>
      </c>
      <c r="D167" s="3" t="str">
        <f t="shared" si="7"/>
        <v>unicode-confusables</v>
      </c>
      <c r="E167" s="3" t="str">
        <f t="shared" si="8"/>
        <v>v0.1.1</v>
      </c>
      <c r="F167" t="str">
        <f>IF(COUNTIFS('[1]25 November'!$E:$E,$D167)&gt;0, "NEW FINDING", IF(COUNTIFS('[1]20 September New Socket'!E:E,$D167)&gt;0,"PREVOUS REPORT","N/A"))</f>
        <v>NEW FINDING</v>
      </c>
    </row>
    <row r="168" spans="1:6" x14ac:dyDescent="0.2">
      <c r="A168" s="1">
        <v>45986</v>
      </c>
      <c r="B168" s="2" t="s">
        <v>168</v>
      </c>
      <c r="C168" s="3" t="str">
        <f t="shared" si="6"/>
        <v>@ensdomains</v>
      </c>
      <c r="D168" s="3" t="str">
        <f t="shared" si="7"/>
        <v>unruggable-gateways</v>
      </c>
      <c r="E168" s="3" t="str">
        <f t="shared" si="8"/>
        <v>v0.0.3</v>
      </c>
      <c r="F168" t="str">
        <f>IF(COUNTIFS('[1]25 November'!$E:$E,$D168)&gt;0, "NEW FINDING", IF(COUNTIFS('[1]20 September New Socket'!E:E,$D168)&gt;0,"PREVOUS REPORT","N/A"))</f>
        <v>NEW FINDING</v>
      </c>
    </row>
    <row r="169" spans="1:6" x14ac:dyDescent="0.2">
      <c r="A169" s="1">
        <v>45986</v>
      </c>
      <c r="B169" s="2" t="s">
        <v>169</v>
      </c>
      <c r="C169" s="3" t="str">
        <f t="shared" si="6"/>
        <v>@ensdomains</v>
      </c>
      <c r="D169" s="3" t="str">
        <f t="shared" si="7"/>
        <v>vite-plugin-i18next-loader</v>
      </c>
      <c r="E169" s="3" t="str">
        <f t="shared" si="8"/>
        <v>v4.0.4</v>
      </c>
      <c r="F169" t="str">
        <f>IF(COUNTIFS('[1]25 November'!$E:$E,$D169)&gt;0, "NEW FINDING", IF(COUNTIFS('[1]20 September New Socket'!E:E,$D169)&gt;0,"PREVOUS REPORT","N/A"))</f>
        <v>NEW FINDING</v>
      </c>
    </row>
    <row r="170" spans="1:6" x14ac:dyDescent="0.2">
      <c r="A170" s="1">
        <v>45986</v>
      </c>
      <c r="B170" s="2" t="s">
        <v>170</v>
      </c>
      <c r="C170" s="3" t="str">
        <f t="shared" si="6"/>
        <v>@ensdomains</v>
      </c>
      <c r="D170" s="3" t="str">
        <f t="shared" si="7"/>
        <v>web3modal</v>
      </c>
      <c r="E170" s="3" t="str">
        <f t="shared" si="8"/>
        <v>v1.10.2</v>
      </c>
      <c r="F170" t="str">
        <f>IF(COUNTIFS('[1]25 November'!$E:$E,$D170)&gt;0, "NEW FINDING", IF(COUNTIFS('[1]20 September New Socket'!E:E,$D170)&gt;0,"PREVOUS REPORT","N/A"))</f>
        <v>NEW FINDING</v>
      </c>
    </row>
    <row r="171" spans="1:6" x14ac:dyDescent="0.2">
      <c r="B171" s="2" t="s">
        <v>171</v>
      </c>
      <c r="C171" s="3" t="str">
        <f t="shared" si="6"/>
        <v>@everreal</v>
      </c>
      <c r="D171" s="3" t="str">
        <f t="shared" si="7"/>
        <v>react-charts</v>
      </c>
      <c r="E171" s="3" t="str">
        <f t="shared" si="8"/>
        <v>v2.0.2</v>
      </c>
      <c r="F171" t="str">
        <f>IF(COUNTIFS('[1]25 November'!$E:$E,$D171)&gt;0, "NEW FINDING", IF(COUNTIFS('[1]20 September New Socket'!E:E,$D171)&gt;0,"PREVOUS REPORT","N/A"))</f>
        <v>N/A</v>
      </c>
    </row>
    <row r="172" spans="1:6" x14ac:dyDescent="0.2">
      <c r="A172" s="1">
        <v>45986</v>
      </c>
      <c r="B172" s="2" t="s">
        <v>172</v>
      </c>
      <c r="C172" s="3" t="str">
        <f t="shared" si="6"/>
        <v>@faq-component</v>
      </c>
      <c r="D172" s="3" t="str">
        <f t="shared" si="7"/>
        <v>core</v>
      </c>
      <c r="E172" s="3" t="str">
        <f t="shared" si="8"/>
        <v>v0.0.4</v>
      </c>
      <c r="F172" t="str">
        <f>IF(COUNTIFS('[1]25 November'!$E:$E,$D172)&gt;0, "NEW FINDING", IF(COUNTIFS('[1]20 September New Socket'!E:E,$D172)&gt;0,"PREVOUS REPORT","N/A"))</f>
        <v>NEW FINDING</v>
      </c>
    </row>
    <row r="173" spans="1:6" x14ac:dyDescent="0.2">
      <c r="A173" s="1">
        <v>45986</v>
      </c>
      <c r="B173" s="2" t="s">
        <v>173</v>
      </c>
      <c r="C173" s="3" t="str">
        <f t="shared" si="6"/>
        <v>@faq-component</v>
      </c>
      <c r="D173" s="3" t="str">
        <f t="shared" si="7"/>
        <v>react</v>
      </c>
      <c r="E173" s="3" t="str">
        <f t="shared" si="8"/>
        <v>v1.0.1</v>
      </c>
      <c r="F173" t="str">
        <f>IF(COUNTIFS('[1]25 November'!$E:$E,$D173)&gt;0, "NEW FINDING", IF(COUNTIFS('[1]20 September New Socket'!E:E,$D173)&gt;0,"PREVOUS REPORT","N/A"))</f>
        <v>NEW FINDING</v>
      </c>
    </row>
    <row r="174" spans="1:6" x14ac:dyDescent="0.2">
      <c r="A174" s="1">
        <v>45986</v>
      </c>
      <c r="B174" s="2" t="s">
        <v>174</v>
      </c>
      <c r="C174" s="3" t="str">
        <f t="shared" si="6"/>
        <v>@fishingbooker</v>
      </c>
      <c r="D174" s="3" t="str">
        <f t="shared" si="7"/>
        <v>browser-sync-plugin</v>
      </c>
      <c r="E174" s="3" t="str">
        <f t="shared" si="8"/>
        <v>v1.0.5</v>
      </c>
      <c r="F174" t="str">
        <f>IF(COUNTIFS('[1]25 November'!$E:$E,$D174)&gt;0, "NEW FINDING", IF(COUNTIFS('[1]20 September New Socket'!E:E,$D174)&gt;0,"PREVOUS REPORT","N/A"))</f>
        <v>NEW FINDING</v>
      </c>
    </row>
    <row r="175" spans="1:6" x14ac:dyDescent="0.2">
      <c r="A175" s="1">
        <v>45986</v>
      </c>
      <c r="B175" s="2" t="s">
        <v>175</v>
      </c>
      <c r="C175" s="3" t="str">
        <f t="shared" si="6"/>
        <v>@fishingbooker</v>
      </c>
      <c r="D175" s="3" t="str">
        <f t="shared" si="7"/>
        <v>react-loader</v>
      </c>
      <c r="E175" s="3" t="str">
        <f t="shared" si="8"/>
        <v>v1.0.7</v>
      </c>
      <c r="F175" t="str">
        <f>IF(COUNTIFS('[1]25 November'!$E:$E,$D175)&gt;0, "NEW FINDING", IF(COUNTIFS('[1]20 September New Socket'!E:E,$D175)&gt;0,"PREVOUS REPORT","N/A"))</f>
        <v>NEW FINDING</v>
      </c>
    </row>
    <row r="176" spans="1:6" x14ac:dyDescent="0.2">
      <c r="A176" s="1">
        <v>45986</v>
      </c>
      <c r="B176" s="2" t="s">
        <v>176</v>
      </c>
      <c r="C176" s="3" t="str">
        <f t="shared" si="6"/>
        <v>@fishingbooker</v>
      </c>
      <c r="D176" s="3" t="str">
        <f t="shared" si="7"/>
        <v>react-pagination</v>
      </c>
      <c r="E176" s="3" t="str">
        <f t="shared" si="8"/>
        <v>v2.0.6</v>
      </c>
      <c r="F176" t="str">
        <f>IF(COUNTIFS('[1]25 November'!$E:$E,$D176)&gt;0, "NEW FINDING", IF(COUNTIFS('[1]20 September New Socket'!E:E,$D176)&gt;0,"PREVOUS REPORT","N/A"))</f>
        <v>NEW FINDING</v>
      </c>
    </row>
    <row r="177" spans="1:6" x14ac:dyDescent="0.2">
      <c r="B177" s="2" t="s">
        <v>177</v>
      </c>
      <c r="C177" s="3" t="str">
        <f t="shared" si="6"/>
        <v>@fishingbooker</v>
      </c>
      <c r="D177" s="3" t="str">
        <f t="shared" si="7"/>
        <v>react-raty</v>
      </c>
      <c r="E177" s="3" t="str">
        <f t="shared" si="8"/>
        <v>v2.0.1</v>
      </c>
      <c r="F177" t="str">
        <f>IF(COUNTIFS('[1]25 November'!$E:$E,$D177)&gt;0, "NEW FINDING", IF(COUNTIFS('[1]20 September New Socket'!E:E,$D177)&gt;0,"PREVOUS REPORT","N/A"))</f>
        <v>N/A</v>
      </c>
    </row>
    <row r="178" spans="1:6" x14ac:dyDescent="0.2">
      <c r="A178" s="1">
        <v>45986</v>
      </c>
      <c r="B178" s="2" t="s">
        <v>178</v>
      </c>
      <c r="C178" s="3" t="str">
        <f t="shared" si="6"/>
        <v>@fishingbooker</v>
      </c>
      <c r="D178" s="3" t="str">
        <f t="shared" si="7"/>
        <v>react-swiper</v>
      </c>
      <c r="E178" s="3" t="str">
        <f t="shared" si="8"/>
        <v>v0.1.5</v>
      </c>
      <c r="F178" t="str">
        <f>IF(COUNTIFS('[1]25 November'!$E:$E,$D178)&gt;0, "NEW FINDING", IF(COUNTIFS('[1]20 September New Socket'!E:E,$D178)&gt;0,"PREVOUS REPORT","N/A"))</f>
        <v>NEW FINDING</v>
      </c>
    </row>
    <row r="179" spans="1:6" x14ac:dyDescent="0.2">
      <c r="A179" s="1">
        <v>45986</v>
      </c>
      <c r="B179" s="2" t="s">
        <v>179</v>
      </c>
      <c r="C179" s="3" t="str">
        <f t="shared" si="6"/>
        <v>@hapheus</v>
      </c>
      <c r="D179" s="3" t="str">
        <f t="shared" si="7"/>
        <v>n8n-nodes-pgp</v>
      </c>
      <c r="E179" s="3" t="str">
        <f t="shared" si="8"/>
        <v>v1.5.1</v>
      </c>
      <c r="F179" t="str">
        <f>IF(COUNTIFS('[1]25 November'!$E:$E,$D179)&gt;0, "NEW FINDING", IF(COUNTIFS('[1]20 September New Socket'!E:E,$D179)&gt;0,"PREVOUS REPORT","N/A"))</f>
        <v>NEW FINDING</v>
      </c>
    </row>
    <row r="180" spans="1:6" x14ac:dyDescent="0.2">
      <c r="A180" s="1">
        <v>45986</v>
      </c>
      <c r="B180" s="2" t="s">
        <v>180</v>
      </c>
      <c r="C180" s="3" t="str">
        <f t="shared" si="6"/>
        <v>@hover-design</v>
      </c>
      <c r="D180" s="3" t="str">
        <f t="shared" si="7"/>
        <v>core</v>
      </c>
      <c r="E180" s="3" t="str">
        <f t="shared" si="8"/>
        <v>v0.0.1</v>
      </c>
      <c r="F180" t="str">
        <f>IF(COUNTIFS('[1]25 November'!$E:$E,$D180)&gt;0, "NEW FINDING", IF(COUNTIFS('[1]20 September New Socket'!E:E,$D180)&gt;0,"PREVOUS REPORT","N/A"))</f>
        <v>NEW FINDING</v>
      </c>
    </row>
    <row r="181" spans="1:6" x14ac:dyDescent="0.2">
      <c r="A181" s="1">
        <v>45986</v>
      </c>
      <c r="B181" s="2" t="s">
        <v>181</v>
      </c>
      <c r="C181" s="3" t="str">
        <f t="shared" si="6"/>
        <v>@hover-design</v>
      </c>
      <c r="D181" s="3" t="str">
        <f t="shared" si="7"/>
        <v>react</v>
      </c>
      <c r="E181" s="3" t="str">
        <f t="shared" si="8"/>
        <v>v0.2.1</v>
      </c>
      <c r="F181" t="str">
        <f>IF(COUNTIFS('[1]25 November'!$E:$E,$D181)&gt;0, "NEW FINDING", IF(COUNTIFS('[1]20 September New Socket'!E:E,$D181)&gt;0,"PREVOUS REPORT","N/A"))</f>
        <v>NEW FINDING</v>
      </c>
    </row>
    <row r="182" spans="1:6" x14ac:dyDescent="0.2">
      <c r="B182" s="2" t="s">
        <v>182</v>
      </c>
      <c r="C182" s="3" t="str">
        <f t="shared" si="6"/>
        <v>@huntersofbook</v>
      </c>
      <c r="D182" s="3" t="str">
        <f t="shared" si="7"/>
        <v>auth-vue</v>
      </c>
      <c r="E182" s="3" t="str">
        <f t="shared" si="8"/>
        <v>v0.4.2</v>
      </c>
      <c r="F182" t="str">
        <f>IF(COUNTIFS('[1]25 November'!$E:$E,$D182)&gt;0, "NEW FINDING", IF(COUNTIFS('[1]20 September New Socket'!E:E,$D182)&gt;0,"PREVOUS REPORT","N/A"))</f>
        <v>N/A</v>
      </c>
    </row>
    <row r="183" spans="1:6" x14ac:dyDescent="0.2">
      <c r="A183" s="1">
        <v>45986</v>
      </c>
      <c r="B183" s="2" t="s">
        <v>183</v>
      </c>
      <c r="C183" s="3" t="str">
        <f t="shared" si="6"/>
        <v>@huntersofbook</v>
      </c>
      <c r="D183" s="3" t="str">
        <f t="shared" si="7"/>
        <v>core</v>
      </c>
      <c r="E183" s="3" t="str">
        <f t="shared" si="8"/>
        <v>v0.5.1</v>
      </c>
      <c r="F183" t="str">
        <f>IF(COUNTIFS('[1]25 November'!$E:$E,$D183)&gt;0, "NEW FINDING", IF(COUNTIFS('[1]20 September New Socket'!E:E,$D183)&gt;0,"PREVOUS REPORT","N/A"))</f>
        <v>NEW FINDING</v>
      </c>
    </row>
    <row r="184" spans="1:6" x14ac:dyDescent="0.2">
      <c r="B184" s="2" t="s">
        <v>184</v>
      </c>
      <c r="C184" s="3" t="str">
        <f t="shared" si="6"/>
        <v>@huntersofbook</v>
      </c>
      <c r="D184" s="3" t="str">
        <f t="shared" si="7"/>
        <v>core-nuxt</v>
      </c>
      <c r="E184" s="3" t="str">
        <f t="shared" si="8"/>
        <v>v0.4.2</v>
      </c>
      <c r="F184" t="str">
        <f>IF(COUNTIFS('[1]25 November'!$E:$E,$D184)&gt;0, "NEW FINDING", IF(COUNTIFS('[1]20 September New Socket'!E:E,$D184)&gt;0,"PREVOUS REPORT","N/A"))</f>
        <v>N/A</v>
      </c>
    </row>
    <row r="185" spans="1:6" x14ac:dyDescent="0.2">
      <c r="B185" s="2" t="s">
        <v>185</v>
      </c>
      <c r="C185" s="3" t="str">
        <f t="shared" si="6"/>
        <v>@huntersofbook</v>
      </c>
      <c r="D185" s="3" t="str">
        <f t="shared" si="7"/>
        <v>form-naiveui</v>
      </c>
      <c r="E185" s="3" t="str">
        <f t="shared" si="8"/>
        <v>v0.5.1</v>
      </c>
      <c r="F185" t="str">
        <f>IF(COUNTIFS('[1]25 November'!$E:$E,$D185)&gt;0, "NEW FINDING", IF(COUNTIFS('[1]20 September New Socket'!E:E,$D185)&gt;0,"PREVOUS REPORT","N/A"))</f>
        <v>N/A</v>
      </c>
    </row>
    <row r="186" spans="1:6" x14ac:dyDescent="0.2">
      <c r="A186" s="1" t="s">
        <v>22</v>
      </c>
      <c r="B186" s="2" t="s">
        <v>186</v>
      </c>
      <c r="C186" s="3" t="str">
        <f t="shared" si="6"/>
        <v>@huntersofbook</v>
      </c>
      <c r="D186" s="3" t="str">
        <f t="shared" si="7"/>
        <v>i18n</v>
      </c>
      <c r="E186" s="3" t="str">
        <f t="shared" si="8"/>
        <v>v0.8.2</v>
      </c>
      <c r="F186" t="str">
        <f>IF(COUNTIFS('[1]25 November'!$E:$E,$D186)&gt;0, "NEW FINDING", IF(COUNTIFS('[1]20 September New Socket'!E:E,$D186)&gt;0,"PREVOUS REPORT","N/A"))</f>
        <v>PREVOUS REPORT</v>
      </c>
    </row>
    <row r="187" spans="1:6" x14ac:dyDescent="0.2">
      <c r="A187" s="1">
        <v>45986</v>
      </c>
      <c r="B187" s="2" t="s">
        <v>187</v>
      </c>
      <c r="C187" s="3" t="str">
        <f t="shared" si="6"/>
        <v>@huntersofbook</v>
      </c>
      <c r="D187" s="3" t="str">
        <f t="shared" si="7"/>
        <v>ui</v>
      </c>
      <c r="E187" s="3" t="str">
        <f t="shared" si="8"/>
        <v>v0.5.1</v>
      </c>
      <c r="F187" t="str">
        <f>IF(COUNTIFS('[1]25 November'!$E:$E,$D187)&gt;0, "NEW FINDING", IF(COUNTIFS('[1]20 September New Socket'!E:E,$D187)&gt;0,"PREVOUS REPORT","N/A"))</f>
        <v>NEW FINDING</v>
      </c>
    </row>
    <row r="188" spans="1:6" x14ac:dyDescent="0.2">
      <c r="B188" s="2" t="s">
        <v>188</v>
      </c>
      <c r="C188" s="3" t="str">
        <f t="shared" si="6"/>
        <v>@hyperlook</v>
      </c>
      <c r="D188" s="3" t="str">
        <f t="shared" si="7"/>
        <v>telemetry-sdk</v>
      </c>
      <c r="E188" s="3" t="str">
        <f t="shared" si="8"/>
        <v>v1.0.19</v>
      </c>
      <c r="F188" t="str">
        <f>IF(COUNTIFS('[1]25 November'!$E:$E,$D188)&gt;0, "NEW FINDING", IF(COUNTIFS('[1]20 September New Socket'!E:E,$D188)&gt;0,"PREVOUS REPORT","N/A"))</f>
        <v>N/A</v>
      </c>
    </row>
    <row r="189" spans="1:6" x14ac:dyDescent="0.2">
      <c r="A189" s="1">
        <v>45986</v>
      </c>
      <c r="B189" s="2" t="s">
        <v>189</v>
      </c>
      <c r="C189" s="3" t="str">
        <f t="shared" si="6"/>
        <v>@ifelsedeveloper</v>
      </c>
      <c r="D189" s="3" t="str">
        <f t="shared" si="7"/>
        <v>protocol-contracts-svm-idl</v>
      </c>
      <c r="E189" s="3" t="str">
        <f t="shared" si="8"/>
        <v>v0.1.2</v>
      </c>
      <c r="F189" t="str">
        <f>IF(COUNTIFS('[1]25 November'!$E:$E,$D189)&gt;0, "NEW FINDING", IF(COUNTIFS('[1]20 September New Socket'!E:E,$D189)&gt;0,"PREVOUS REPORT","N/A"))</f>
        <v>NEW FINDING</v>
      </c>
    </row>
    <row r="190" spans="1:6" x14ac:dyDescent="0.2">
      <c r="A190" s="1">
        <v>45986</v>
      </c>
      <c r="B190" s="2" t="s">
        <v>190</v>
      </c>
      <c r="C190" s="3" t="str">
        <f t="shared" si="6"/>
        <v>@ifelsedeveloper</v>
      </c>
      <c r="D190" s="3" t="str">
        <f t="shared" si="7"/>
        <v>protocol-contracts-svm-idl</v>
      </c>
      <c r="E190" s="3" t="str">
        <f t="shared" si="8"/>
        <v>v0.1.3</v>
      </c>
      <c r="F190" t="str">
        <f>IF(COUNTIFS('[1]25 November'!$E:$E,$D190)&gt;0, "NEW FINDING", IF(COUNTIFS('[1]20 September New Socket'!E:E,$D190)&gt;0,"PREVOUS REPORT","N/A"))</f>
        <v>NEW FINDING</v>
      </c>
    </row>
    <row r="191" spans="1:6" x14ac:dyDescent="0.2">
      <c r="A191" s="1">
        <v>45986</v>
      </c>
      <c r="B191" s="2" t="s">
        <v>191</v>
      </c>
      <c r="C191" s="3" t="str">
        <f t="shared" si="6"/>
        <v>@ifings</v>
      </c>
      <c r="D191" s="3" t="str">
        <f t="shared" si="7"/>
        <v>design-system</v>
      </c>
      <c r="E191" s="3" t="str">
        <f t="shared" si="8"/>
        <v>v4.9.2</v>
      </c>
      <c r="F191" t="str">
        <f>IF(COUNTIFS('[1]25 November'!$E:$E,$D191)&gt;0, "NEW FINDING", IF(COUNTIFS('[1]20 September New Socket'!E:E,$D191)&gt;0,"PREVOUS REPORT","N/A"))</f>
        <v>NEW FINDING</v>
      </c>
    </row>
    <row r="192" spans="1:6" x14ac:dyDescent="0.2">
      <c r="B192" s="2" t="s">
        <v>192</v>
      </c>
      <c r="C192" s="3" t="str">
        <f t="shared" si="6"/>
        <v>@ifings</v>
      </c>
      <c r="D192" s="3" t="str">
        <f t="shared" si="7"/>
        <v>metatron3</v>
      </c>
      <c r="E192" s="3" t="str">
        <f t="shared" si="8"/>
        <v>v0.1.5</v>
      </c>
      <c r="F192" t="str">
        <f>IF(COUNTIFS('[1]25 November'!$E:$E,$D192)&gt;0, "NEW FINDING", IF(COUNTIFS('[1]20 September New Socket'!E:E,$D192)&gt;0,"PREVOUS REPORT","N/A"))</f>
        <v>N/A</v>
      </c>
    </row>
    <row r="193" spans="1:6" x14ac:dyDescent="0.2">
      <c r="B193" s="2" t="s">
        <v>193</v>
      </c>
      <c r="C193" s="3" t="str">
        <f t="shared" ref="C193:C256" si="9">IF(LEFT(B193,1)="@",LEFT(B193,FIND("/",B193)-1),"")</f>
        <v>@jayeshsadhwani</v>
      </c>
      <c r="D193" s="3" t="str">
        <f t="shared" ref="D193:D256" si="10">IF(LEFT(B193,1)="@",
    MID(
        B193,
        FIND("/",B193)+1,
        IFERROR(
            FIND("@",B193,FIND("/",B193)+1) - FIND("/",B193) - 1,
            LEN(B193) - FIND("/",B193)
        )
    ),
    IFERROR(LEFT(B193,FIND("@",B193)-1), B193)
)</f>
        <v>telemetry-sdk</v>
      </c>
      <c r="E193" s="3" t="str">
        <f t="shared" ref="E193:E256" si="11">RIGHT(B193,LEN(B193)-FIND("@",B193,LEN(B193)-LEN(SUBSTITUTE(B193,"@",""))+1))</f>
        <v>v1.0.14</v>
      </c>
      <c r="F193" t="str">
        <f>IF(COUNTIFS('[1]25 November'!$E:$E,$D193)&gt;0, "NEW FINDING", IF(COUNTIFS('[1]20 September New Socket'!E:E,$D193)&gt;0,"PREVOUS REPORT","N/A"))</f>
        <v>N/A</v>
      </c>
    </row>
    <row r="194" spans="1:6" x14ac:dyDescent="0.2">
      <c r="A194" s="1">
        <v>45986</v>
      </c>
      <c r="B194" s="2" t="s">
        <v>194</v>
      </c>
      <c r="C194" s="3" t="str">
        <f t="shared" si="9"/>
        <v>@kvytech</v>
      </c>
      <c r="D194" s="3" t="str">
        <f t="shared" si="10"/>
        <v>cli</v>
      </c>
      <c r="E194" s="3" t="str">
        <f t="shared" si="11"/>
        <v>v0.0.7</v>
      </c>
      <c r="F194" t="str">
        <f>IF(COUNTIFS('[1]25 November'!$E:$E,$D194)&gt;0, "NEW FINDING", IF(COUNTIFS('[1]20 September New Socket'!E:E,$D194)&gt;0,"PREVOUS REPORT","N/A"))</f>
        <v>NEW FINDING</v>
      </c>
    </row>
    <row r="195" spans="1:6" x14ac:dyDescent="0.2">
      <c r="A195" s="1">
        <v>45986</v>
      </c>
      <c r="B195" s="2" t="s">
        <v>195</v>
      </c>
      <c r="C195" s="3" t="str">
        <f t="shared" si="9"/>
        <v>@kvytech</v>
      </c>
      <c r="D195" s="3" t="str">
        <f t="shared" si="10"/>
        <v>components</v>
      </c>
      <c r="E195" s="3" t="str">
        <f t="shared" si="11"/>
        <v>v0.0.2</v>
      </c>
      <c r="F195" t="str">
        <f>IF(COUNTIFS('[1]25 November'!$E:$E,$D195)&gt;0, "NEW FINDING", IF(COUNTIFS('[1]20 September New Socket'!E:E,$D195)&gt;0,"PREVOUS REPORT","N/A"))</f>
        <v>NEW FINDING</v>
      </c>
    </row>
    <row r="196" spans="1:6" x14ac:dyDescent="0.2">
      <c r="A196" s="1">
        <v>45986</v>
      </c>
      <c r="B196" s="2" t="s">
        <v>196</v>
      </c>
      <c r="C196" s="3" t="str">
        <f t="shared" si="9"/>
        <v>@kvytech</v>
      </c>
      <c r="D196" s="3" t="str">
        <f t="shared" si="10"/>
        <v>habbit-e2e-test</v>
      </c>
      <c r="E196" s="3" t="str">
        <f t="shared" si="11"/>
        <v>v0.0.2</v>
      </c>
      <c r="F196" t="str">
        <f>IF(COUNTIFS('[1]25 November'!$E:$E,$D196)&gt;0, "NEW FINDING", IF(COUNTIFS('[1]20 September New Socket'!E:E,$D196)&gt;0,"PREVOUS REPORT","N/A"))</f>
        <v>NEW FINDING</v>
      </c>
    </row>
    <row r="197" spans="1:6" x14ac:dyDescent="0.2">
      <c r="A197" s="1">
        <v>45986</v>
      </c>
      <c r="B197" s="2" t="s">
        <v>197</v>
      </c>
      <c r="C197" s="3" t="str">
        <f t="shared" si="9"/>
        <v>@kvytech</v>
      </c>
      <c r="D197" s="3" t="str">
        <f t="shared" si="10"/>
        <v>medusa-plugin-announcement</v>
      </c>
      <c r="E197" s="3" t="str">
        <f t="shared" si="11"/>
        <v>v0.0.8</v>
      </c>
      <c r="F197" t="str">
        <f>IF(COUNTIFS('[1]25 November'!$E:$E,$D197)&gt;0, "NEW FINDING", IF(COUNTIFS('[1]20 September New Socket'!E:E,$D197)&gt;0,"PREVOUS REPORT","N/A"))</f>
        <v>NEW FINDING</v>
      </c>
    </row>
    <row r="198" spans="1:6" x14ac:dyDescent="0.2">
      <c r="A198" s="1">
        <v>45986</v>
      </c>
      <c r="B198" s="2" t="s">
        <v>198</v>
      </c>
      <c r="C198" s="3" t="str">
        <f t="shared" si="9"/>
        <v>@kvytech</v>
      </c>
      <c r="D198" s="3" t="str">
        <f t="shared" si="10"/>
        <v>medusa-plugin-management</v>
      </c>
      <c r="E198" s="3" t="str">
        <f t="shared" si="11"/>
        <v>v0.0.5</v>
      </c>
      <c r="F198" t="str">
        <f>IF(COUNTIFS('[1]25 November'!$E:$E,$D198)&gt;0, "NEW FINDING", IF(COUNTIFS('[1]20 September New Socket'!E:E,$D198)&gt;0,"PREVOUS REPORT","N/A"))</f>
        <v>NEW FINDING</v>
      </c>
    </row>
    <row r="199" spans="1:6" x14ac:dyDescent="0.2">
      <c r="A199" s="1">
        <v>45986</v>
      </c>
      <c r="B199" s="2" t="s">
        <v>199</v>
      </c>
      <c r="C199" s="3" t="str">
        <f t="shared" si="9"/>
        <v>@kvytech</v>
      </c>
      <c r="D199" s="3" t="str">
        <f t="shared" si="10"/>
        <v>medusa-plugin-newsletter</v>
      </c>
      <c r="E199" s="3" t="str">
        <f t="shared" si="11"/>
        <v>v0.0.5</v>
      </c>
      <c r="F199" t="str">
        <f>IF(COUNTIFS('[1]25 November'!$E:$E,$D199)&gt;0, "NEW FINDING", IF(COUNTIFS('[1]20 September New Socket'!E:E,$D199)&gt;0,"PREVOUS REPORT","N/A"))</f>
        <v>NEW FINDING</v>
      </c>
    </row>
    <row r="200" spans="1:6" x14ac:dyDescent="0.2">
      <c r="A200" s="1">
        <v>45986</v>
      </c>
      <c r="B200" s="2" t="s">
        <v>200</v>
      </c>
      <c r="C200" s="3" t="str">
        <f t="shared" si="9"/>
        <v>@kvytech</v>
      </c>
      <c r="D200" s="3" t="str">
        <f t="shared" si="10"/>
        <v>medusa-plugin-product-reviews</v>
      </c>
      <c r="E200" s="3" t="str">
        <f t="shared" si="11"/>
        <v>v0.0.9</v>
      </c>
      <c r="F200" t="str">
        <f>IF(COUNTIFS('[1]25 November'!$E:$E,$D200)&gt;0, "NEW FINDING", IF(COUNTIFS('[1]20 September New Socket'!E:E,$D200)&gt;0,"PREVOUS REPORT","N/A"))</f>
        <v>NEW FINDING</v>
      </c>
    </row>
    <row r="201" spans="1:6" x14ac:dyDescent="0.2">
      <c r="A201" s="1">
        <v>45986</v>
      </c>
      <c r="B201" s="2" t="s">
        <v>201</v>
      </c>
      <c r="C201" s="3" t="str">
        <f t="shared" si="9"/>
        <v>@kvytech</v>
      </c>
      <c r="D201" s="3" t="str">
        <f t="shared" si="10"/>
        <v>medusa-plugin-promotion</v>
      </c>
      <c r="E201" s="3" t="str">
        <f t="shared" si="11"/>
        <v>v0.0.2</v>
      </c>
      <c r="F201" t="str">
        <f>IF(COUNTIFS('[1]25 November'!$E:$E,$D201)&gt;0, "NEW FINDING", IF(COUNTIFS('[1]20 September New Socket'!E:E,$D201)&gt;0,"PREVOUS REPORT","N/A"))</f>
        <v>NEW FINDING</v>
      </c>
    </row>
    <row r="202" spans="1:6" x14ac:dyDescent="0.2">
      <c r="A202" s="1">
        <v>45986</v>
      </c>
      <c r="B202" s="2" t="s">
        <v>202</v>
      </c>
      <c r="C202" s="3" t="str">
        <f t="shared" si="9"/>
        <v>@kvytech</v>
      </c>
      <c r="D202" s="3" t="str">
        <f t="shared" si="10"/>
        <v>web</v>
      </c>
      <c r="E202" s="3" t="str">
        <f t="shared" si="11"/>
        <v>v0.0.2</v>
      </c>
      <c r="F202" t="str">
        <f>IF(COUNTIFS('[1]25 November'!$E:$E,$D202)&gt;0, "NEW FINDING", IF(COUNTIFS('[1]20 September New Socket'!E:E,$D202)&gt;0,"PREVOUS REPORT","N/A"))</f>
        <v>NEW FINDING</v>
      </c>
    </row>
    <row r="203" spans="1:6" x14ac:dyDescent="0.2">
      <c r="A203" s="1">
        <v>45986</v>
      </c>
      <c r="B203" s="2" t="s">
        <v>203</v>
      </c>
      <c r="C203" s="3" t="str">
        <f t="shared" si="9"/>
        <v>@lessondesk</v>
      </c>
      <c r="D203" s="3" t="str">
        <f t="shared" si="10"/>
        <v>api-client</v>
      </c>
      <c r="E203" s="3" t="str">
        <f t="shared" si="11"/>
        <v>v9.12.3</v>
      </c>
      <c r="F203" t="str">
        <f>IF(COUNTIFS('[1]25 November'!$E:$E,$D203)&gt;0, "NEW FINDING", IF(COUNTIFS('[1]20 September New Socket'!E:E,$D203)&gt;0,"PREVOUS REPORT","N/A"))</f>
        <v>NEW FINDING</v>
      </c>
    </row>
    <row r="204" spans="1:6" x14ac:dyDescent="0.2">
      <c r="A204" s="1">
        <v>45986</v>
      </c>
      <c r="B204" s="2" t="s">
        <v>204</v>
      </c>
      <c r="C204" s="3" t="str">
        <f t="shared" si="9"/>
        <v>@lessondesk</v>
      </c>
      <c r="D204" s="3" t="str">
        <f t="shared" si="10"/>
        <v>babel-preset</v>
      </c>
      <c r="E204" s="3" t="str">
        <f t="shared" si="11"/>
        <v>v1.0.1</v>
      </c>
      <c r="F204" t="str">
        <f>IF(COUNTIFS('[1]25 November'!$E:$E,$D204)&gt;0, "NEW FINDING", IF(COUNTIFS('[1]20 September New Socket'!E:E,$D204)&gt;0,"PREVOUS REPORT","N/A"))</f>
        <v>NEW FINDING</v>
      </c>
    </row>
    <row r="205" spans="1:6" x14ac:dyDescent="0.2">
      <c r="B205" s="2" t="s">
        <v>205</v>
      </c>
      <c r="C205" s="3" t="str">
        <f t="shared" si="9"/>
        <v>@lessondesk</v>
      </c>
      <c r="D205" s="3" t="str">
        <f t="shared" si="10"/>
        <v>electron-group-api-client</v>
      </c>
      <c r="E205" s="3" t="str">
        <f t="shared" si="11"/>
        <v>v1.0.3</v>
      </c>
      <c r="F205" t="str">
        <f>IF(COUNTIFS('[1]25 November'!$E:$E,$D205)&gt;0, "NEW FINDING", IF(COUNTIFS('[1]20 September New Socket'!E:E,$D205)&gt;0,"PREVOUS REPORT","N/A"))</f>
        <v>N/A</v>
      </c>
    </row>
    <row r="206" spans="1:6" x14ac:dyDescent="0.2">
      <c r="A206" s="1">
        <v>45986</v>
      </c>
      <c r="B206" s="2" t="s">
        <v>206</v>
      </c>
      <c r="C206" s="3" t="str">
        <f t="shared" si="9"/>
        <v>@lessondesk</v>
      </c>
      <c r="D206" s="3" t="str">
        <f t="shared" si="10"/>
        <v>eslint-config</v>
      </c>
      <c r="E206" s="3" t="str">
        <f t="shared" si="11"/>
        <v>v1.4.2</v>
      </c>
      <c r="F206" t="str">
        <f>IF(COUNTIFS('[1]25 November'!$E:$E,$D206)&gt;0, "NEW FINDING", IF(COUNTIFS('[1]20 September New Socket'!E:E,$D206)&gt;0,"PREVOUS REPORT","N/A"))</f>
        <v>NEW FINDING</v>
      </c>
    </row>
    <row r="207" spans="1:6" x14ac:dyDescent="0.2">
      <c r="B207" s="2" t="s">
        <v>207</v>
      </c>
      <c r="C207" s="3" t="str">
        <f t="shared" si="9"/>
        <v>@lessondesk</v>
      </c>
      <c r="D207" s="3" t="str">
        <f t="shared" si="10"/>
        <v>material-icons</v>
      </c>
      <c r="E207" s="3" t="str">
        <f t="shared" si="11"/>
        <v>v1.0.3</v>
      </c>
      <c r="F207" t="str">
        <f>IF(COUNTIFS('[1]25 November'!$E:$E,$D207)&gt;0, "NEW FINDING", IF(COUNTIFS('[1]20 September New Socket'!E:E,$D207)&gt;0,"PREVOUS REPORT","N/A"))</f>
        <v>N/A</v>
      </c>
    </row>
    <row r="208" spans="1:6" x14ac:dyDescent="0.2">
      <c r="B208" s="2" t="s">
        <v>208</v>
      </c>
      <c r="C208" s="3" t="str">
        <f t="shared" si="9"/>
        <v>@lessondesk</v>
      </c>
      <c r="D208" s="3" t="str">
        <f t="shared" si="10"/>
        <v>react-table-context</v>
      </c>
      <c r="E208" s="3" t="str">
        <f t="shared" si="11"/>
        <v>v2.0.4</v>
      </c>
      <c r="F208" t="str">
        <f>IF(COUNTIFS('[1]25 November'!$E:$E,$D208)&gt;0, "NEW FINDING", IF(COUNTIFS('[1]20 September New Socket'!E:E,$D208)&gt;0,"PREVOUS REPORT","N/A"))</f>
        <v>N/A</v>
      </c>
    </row>
    <row r="209" spans="1:6" x14ac:dyDescent="0.2">
      <c r="B209" s="2" t="s">
        <v>209</v>
      </c>
      <c r="C209" s="3" t="str">
        <f t="shared" si="9"/>
        <v>@livecms</v>
      </c>
      <c r="D209" s="3" t="str">
        <f t="shared" si="10"/>
        <v>live-edit</v>
      </c>
      <c r="E209" s="3" t="str">
        <f t="shared" si="11"/>
        <v>v0.0.32</v>
      </c>
      <c r="F209" t="str">
        <f>IF(COUNTIFS('[1]25 November'!$E:$E,$D209)&gt;0, "NEW FINDING", IF(COUNTIFS('[1]20 September New Socket'!E:E,$D209)&gt;0,"PREVOUS REPORT","N/A"))</f>
        <v>N/A</v>
      </c>
    </row>
    <row r="210" spans="1:6" x14ac:dyDescent="0.2">
      <c r="B210" s="2" t="s">
        <v>210</v>
      </c>
      <c r="C210" s="3" t="str">
        <f t="shared" si="9"/>
        <v>@livecms</v>
      </c>
      <c r="D210" s="3" t="str">
        <f t="shared" si="10"/>
        <v>nuxt-live-edit</v>
      </c>
      <c r="E210" s="3" t="str">
        <f t="shared" si="11"/>
        <v>v1.9.2</v>
      </c>
      <c r="F210" t="str">
        <f>IF(COUNTIFS('[1]25 November'!$E:$E,$D210)&gt;0, "NEW FINDING", IF(COUNTIFS('[1]20 September New Socket'!E:E,$D210)&gt;0,"PREVOUS REPORT","N/A"))</f>
        <v>N/A</v>
      </c>
    </row>
    <row r="211" spans="1:6" x14ac:dyDescent="0.2">
      <c r="B211" s="2" t="s">
        <v>211</v>
      </c>
      <c r="C211" s="3" t="str">
        <f t="shared" si="9"/>
        <v>@lokeswari-satyanarayanan</v>
      </c>
      <c r="D211" s="3" t="str">
        <f t="shared" si="10"/>
        <v>rn-zustand-expo-template</v>
      </c>
      <c r="E211" s="3" t="str">
        <f t="shared" si="11"/>
        <v>v1.0.9</v>
      </c>
      <c r="F211" t="str">
        <f>IF(COUNTIFS('[1]25 November'!$E:$E,$D211)&gt;0, "NEW FINDING", IF(COUNTIFS('[1]20 September New Socket'!E:E,$D211)&gt;0,"PREVOUS REPORT","N/A"))</f>
        <v>N/A</v>
      </c>
    </row>
    <row r="212" spans="1:6" x14ac:dyDescent="0.2">
      <c r="A212" s="1">
        <v>45986</v>
      </c>
      <c r="B212" s="2" t="s">
        <v>212</v>
      </c>
      <c r="C212" s="3" t="str">
        <f t="shared" si="9"/>
        <v>@louisle2</v>
      </c>
      <c r="D212" s="3" t="str">
        <f t="shared" si="10"/>
        <v>core</v>
      </c>
      <c r="E212" s="3" t="str">
        <f t="shared" si="11"/>
        <v>v1.0.1</v>
      </c>
      <c r="F212" t="str">
        <f>IF(COUNTIFS('[1]25 November'!$E:$E,$D212)&gt;0, "NEW FINDING", IF(COUNTIFS('[1]20 September New Socket'!E:E,$D212)&gt;0,"PREVOUS REPORT","N/A"))</f>
        <v>NEW FINDING</v>
      </c>
    </row>
    <row r="213" spans="1:6" x14ac:dyDescent="0.2">
      <c r="A213" s="1">
        <v>45986</v>
      </c>
      <c r="B213" s="2" t="s">
        <v>213</v>
      </c>
      <c r="C213" s="3" t="str">
        <f t="shared" si="9"/>
        <v>@louisle2</v>
      </c>
      <c r="D213" s="3" t="str">
        <f t="shared" si="10"/>
        <v>cortex-js</v>
      </c>
      <c r="E213" s="3" t="str">
        <f t="shared" si="11"/>
        <v>v0.1.6</v>
      </c>
      <c r="F213" t="str">
        <f>IF(COUNTIFS('[1]25 November'!$E:$E,$D213)&gt;0, "NEW FINDING", IF(COUNTIFS('[1]20 September New Socket'!E:E,$D213)&gt;0,"PREVOUS REPORT","N/A"))</f>
        <v>NEW FINDING</v>
      </c>
    </row>
    <row r="214" spans="1:6" x14ac:dyDescent="0.2">
      <c r="A214" s="1">
        <v>45986</v>
      </c>
      <c r="B214" s="2" t="s">
        <v>214</v>
      </c>
      <c r="C214" s="3" t="str">
        <f t="shared" si="9"/>
        <v>@lpdjs</v>
      </c>
      <c r="D214" s="3" t="str">
        <f t="shared" si="10"/>
        <v>firestore-repo-service</v>
      </c>
      <c r="E214" s="3" t="str">
        <f t="shared" si="11"/>
        <v>v1.0.1</v>
      </c>
      <c r="F214" t="str">
        <f>IF(COUNTIFS('[1]25 November'!$E:$E,$D214)&gt;0, "NEW FINDING", IF(COUNTIFS('[1]20 September New Socket'!E:E,$D214)&gt;0,"PREVOUS REPORT","N/A"))</f>
        <v>NEW FINDING</v>
      </c>
    </row>
    <row r="215" spans="1:6" x14ac:dyDescent="0.2">
      <c r="B215" s="2" t="s">
        <v>215</v>
      </c>
      <c r="C215" s="3" t="str">
        <f t="shared" si="9"/>
        <v>@lui-ui</v>
      </c>
      <c r="D215" s="3" t="str">
        <f t="shared" si="10"/>
        <v>lui-nuxt</v>
      </c>
      <c r="E215" s="3" t="str">
        <f t="shared" si="11"/>
        <v>v0.1.1</v>
      </c>
      <c r="F215" t="str">
        <f>IF(COUNTIFS('[1]25 November'!$E:$E,$D215)&gt;0, "NEW FINDING", IF(COUNTIFS('[1]20 September New Socket'!E:E,$D215)&gt;0,"PREVOUS REPORT","N/A"))</f>
        <v>N/A</v>
      </c>
    </row>
    <row r="216" spans="1:6" x14ac:dyDescent="0.2">
      <c r="B216" s="2" t="s">
        <v>216</v>
      </c>
      <c r="C216" s="3" t="str">
        <f t="shared" si="9"/>
        <v>@lui-ui</v>
      </c>
      <c r="D216" s="3" t="str">
        <f t="shared" si="10"/>
        <v>lui-tailwindcss</v>
      </c>
      <c r="E216" s="3" t="str">
        <f t="shared" si="11"/>
        <v>v0.1.2</v>
      </c>
      <c r="F216" t="str">
        <f>IF(COUNTIFS('[1]25 November'!$E:$E,$D216)&gt;0, "NEW FINDING", IF(COUNTIFS('[1]20 September New Socket'!E:E,$D216)&gt;0,"PREVOUS REPORT","N/A"))</f>
        <v>N/A</v>
      </c>
    </row>
    <row r="217" spans="1:6" x14ac:dyDescent="0.2">
      <c r="B217" s="2" t="s">
        <v>217</v>
      </c>
      <c r="C217" s="3" t="str">
        <f t="shared" si="9"/>
        <v>@lui-ui</v>
      </c>
      <c r="D217" s="3" t="str">
        <f t="shared" si="10"/>
        <v>lui-vue</v>
      </c>
      <c r="E217" s="3" t="str">
        <f t="shared" si="11"/>
        <v>v1.0.13</v>
      </c>
      <c r="F217" t="str">
        <f>IF(COUNTIFS('[1]25 November'!$E:$E,$D217)&gt;0, "NEW FINDING", IF(COUNTIFS('[1]20 September New Socket'!E:E,$D217)&gt;0,"PREVOUS REPORT","N/A"))</f>
        <v>N/A</v>
      </c>
    </row>
    <row r="218" spans="1:6" x14ac:dyDescent="0.2">
      <c r="B218" s="2" t="s">
        <v>218</v>
      </c>
      <c r="C218" s="3" t="str">
        <f t="shared" si="9"/>
        <v>@micado-digital</v>
      </c>
      <c r="D218" s="3" t="str">
        <f t="shared" si="10"/>
        <v>stadtmarketing-kufstein-external</v>
      </c>
      <c r="E218" s="3" t="str">
        <f t="shared" si="11"/>
        <v>v1.9.1</v>
      </c>
      <c r="F218" t="str">
        <f>IF(COUNTIFS('[1]25 November'!$E:$E,$D218)&gt;0, "NEW FINDING", IF(COUNTIFS('[1]20 September New Socket'!E:E,$D218)&gt;0,"PREVOUS REPORT","N/A"))</f>
        <v>N/A</v>
      </c>
    </row>
    <row r="219" spans="1:6" x14ac:dyDescent="0.2">
      <c r="B219" s="2" t="s">
        <v>219</v>
      </c>
      <c r="C219" s="3" t="str">
        <f t="shared" si="9"/>
        <v>@mizzle-dev</v>
      </c>
      <c r="D219" s="3" t="str">
        <f t="shared" si="10"/>
        <v>orm</v>
      </c>
      <c r="E219" s="3" t="str">
        <f t="shared" si="11"/>
        <v>v0.0.2</v>
      </c>
      <c r="F219" t="str">
        <f>IF(COUNTIFS('[1]25 November'!$E:$E,$D219)&gt;0, "NEW FINDING", IF(COUNTIFS('[1]20 September New Socket'!E:E,$D219)&gt;0,"PREVOUS REPORT","N/A"))</f>
        <v>N/A</v>
      </c>
    </row>
    <row r="220" spans="1:6" x14ac:dyDescent="0.2">
      <c r="B220" s="2" t="s">
        <v>220</v>
      </c>
      <c r="C220" s="3" t="str">
        <f t="shared" si="9"/>
        <v>@ntnx</v>
      </c>
      <c r="D220" s="3" t="str">
        <f t="shared" si="10"/>
        <v>passport-wso2</v>
      </c>
      <c r="E220" s="3" t="str">
        <f t="shared" si="11"/>
        <v>v0.0.3</v>
      </c>
      <c r="F220" t="str">
        <f>IF(COUNTIFS('[1]25 November'!$E:$E,$D220)&gt;0, "NEW FINDING", IF(COUNTIFS('[1]20 September New Socket'!E:E,$D220)&gt;0,"PREVOUS REPORT","N/A"))</f>
        <v>N/A</v>
      </c>
    </row>
    <row r="221" spans="1:6" x14ac:dyDescent="0.2">
      <c r="B221" s="2" t="s">
        <v>221</v>
      </c>
      <c r="C221" s="3" t="str">
        <f t="shared" si="9"/>
        <v>@ntnx</v>
      </c>
      <c r="D221" s="3" t="str">
        <f t="shared" si="10"/>
        <v>t</v>
      </c>
      <c r="E221" s="3" t="str">
        <f t="shared" si="11"/>
        <v>v0.0.101</v>
      </c>
      <c r="F221" t="str">
        <f>IF(COUNTIFS('[1]25 November'!$E:$E,$D221)&gt;0, "NEW FINDING", IF(COUNTIFS('[1]20 September New Socket'!E:E,$D221)&gt;0,"PREVOUS REPORT","N/A"))</f>
        <v>N/A</v>
      </c>
    </row>
    <row r="222" spans="1:6" x14ac:dyDescent="0.2">
      <c r="B222" s="2" t="s">
        <v>222</v>
      </c>
      <c r="C222" s="3" t="str">
        <f t="shared" si="9"/>
        <v>@oku-ui</v>
      </c>
      <c r="D222" s="3" t="str">
        <f t="shared" si="10"/>
        <v>accordion</v>
      </c>
      <c r="E222" s="3" t="str">
        <f t="shared" si="11"/>
        <v>v0.6.2</v>
      </c>
      <c r="F222" t="str">
        <f>IF(COUNTIFS('[1]25 November'!$E:$E,$D222)&gt;0, "NEW FINDING", IF(COUNTIFS('[1]20 September New Socket'!E:E,$D222)&gt;0,"PREVOUS REPORT","N/A"))</f>
        <v>N/A</v>
      </c>
    </row>
    <row r="223" spans="1:6" x14ac:dyDescent="0.2">
      <c r="B223" s="2" t="s">
        <v>223</v>
      </c>
      <c r="C223" s="3" t="str">
        <f t="shared" si="9"/>
        <v>@oku-ui</v>
      </c>
      <c r="D223" s="3" t="str">
        <f t="shared" si="10"/>
        <v>alert-dialog</v>
      </c>
      <c r="E223" s="3" t="str">
        <f t="shared" si="11"/>
        <v>v0.6.2</v>
      </c>
      <c r="F223" t="str">
        <f>IF(COUNTIFS('[1]25 November'!$E:$E,$D223)&gt;0, "NEW FINDING", IF(COUNTIFS('[1]20 September New Socket'!E:E,$D223)&gt;0,"PREVOUS REPORT","N/A"))</f>
        <v>N/A</v>
      </c>
    </row>
    <row r="224" spans="1:6" x14ac:dyDescent="0.2">
      <c r="B224" s="2" t="s">
        <v>224</v>
      </c>
      <c r="C224" s="3" t="str">
        <f t="shared" si="9"/>
        <v>@oku-ui</v>
      </c>
      <c r="D224" s="3" t="str">
        <f t="shared" si="10"/>
        <v>arrow</v>
      </c>
      <c r="E224" s="3" t="str">
        <f t="shared" si="11"/>
        <v>v0.6.2</v>
      </c>
      <c r="F224" t="str">
        <f>IF(COUNTIFS('[1]25 November'!$E:$E,$D224)&gt;0, "NEW FINDING", IF(COUNTIFS('[1]20 September New Socket'!E:E,$D224)&gt;0,"PREVOUS REPORT","N/A"))</f>
        <v>N/A</v>
      </c>
    </row>
    <row r="225" spans="2:6" x14ac:dyDescent="0.2">
      <c r="B225" s="2" t="s">
        <v>225</v>
      </c>
      <c r="C225" s="3" t="str">
        <f t="shared" si="9"/>
        <v>@oku-ui</v>
      </c>
      <c r="D225" s="3" t="str">
        <f t="shared" si="10"/>
        <v>aspect-ratio</v>
      </c>
      <c r="E225" s="3" t="str">
        <f t="shared" si="11"/>
        <v>v0.6.2</v>
      </c>
      <c r="F225" t="str">
        <f>IF(COUNTIFS('[1]25 November'!$E:$E,$D225)&gt;0, "NEW FINDING", IF(COUNTIFS('[1]20 September New Socket'!E:E,$D225)&gt;0,"PREVOUS REPORT","N/A"))</f>
        <v>N/A</v>
      </c>
    </row>
    <row r="226" spans="2:6" x14ac:dyDescent="0.2">
      <c r="B226" s="2" t="s">
        <v>226</v>
      </c>
      <c r="C226" s="3" t="str">
        <f t="shared" si="9"/>
        <v>@oku-ui</v>
      </c>
      <c r="D226" s="3" t="str">
        <f t="shared" si="10"/>
        <v>avatar</v>
      </c>
      <c r="E226" s="3" t="str">
        <f t="shared" si="11"/>
        <v>v0.6.2</v>
      </c>
      <c r="F226" t="str">
        <f>IF(COUNTIFS('[1]25 November'!$E:$E,$D226)&gt;0, "NEW FINDING", IF(COUNTIFS('[1]20 September New Socket'!E:E,$D226)&gt;0,"PREVOUS REPORT","N/A"))</f>
        <v>N/A</v>
      </c>
    </row>
    <row r="227" spans="2:6" x14ac:dyDescent="0.2">
      <c r="B227" s="2" t="s">
        <v>227</v>
      </c>
      <c r="C227" s="3" t="str">
        <f t="shared" si="9"/>
        <v>@oku-ui</v>
      </c>
      <c r="D227" s="3" t="str">
        <f t="shared" si="10"/>
        <v>checkbox</v>
      </c>
      <c r="E227" s="3" t="str">
        <f t="shared" si="11"/>
        <v>v0.6.3</v>
      </c>
      <c r="F227" t="str">
        <f>IF(COUNTIFS('[1]25 November'!$E:$E,$D227)&gt;0, "NEW FINDING", IF(COUNTIFS('[1]20 September New Socket'!E:E,$D227)&gt;0,"PREVOUS REPORT","N/A"))</f>
        <v>N/A</v>
      </c>
    </row>
    <row r="228" spans="2:6" x14ac:dyDescent="0.2">
      <c r="B228" s="2" t="s">
        <v>228</v>
      </c>
      <c r="C228" s="3" t="str">
        <f t="shared" si="9"/>
        <v>@oku-ui</v>
      </c>
      <c r="D228" s="3" t="str">
        <f t="shared" si="10"/>
        <v>collapsible</v>
      </c>
      <c r="E228" s="3" t="str">
        <f t="shared" si="11"/>
        <v>v0.6.2</v>
      </c>
      <c r="F228" t="str">
        <f>IF(COUNTIFS('[1]25 November'!$E:$E,$D228)&gt;0, "NEW FINDING", IF(COUNTIFS('[1]20 September New Socket'!E:E,$D228)&gt;0,"PREVOUS REPORT","N/A"))</f>
        <v>N/A</v>
      </c>
    </row>
    <row r="229" spans="2:6" x14ac:dyDescent="0.2">
      <c r="B229" s="2" t="s">
        <v>229</v>
      </c>
      <c r="C229" s="3" t="str">
        <f t="shared" si="9"/>
        <v>@oku-ui</v>
      </c>
      <c r="D229" s="3" t="str">
        <f t="shared" si="10"/>
        <v>collection</v>
      </c>
      <c r="E229" s="3" t="str">
        <f t="shared" si="11"/>
        <v>v0.6.2</v>
      </c>
      <c r="F229" t="str">
        <f>IF(COUNTIFS('[1]25 November'!$E:$E,$D229)&gt;0, "NEW FINDING", IF(COUNTIFS('[1]20 September New Socket'!E:E,$D229)&gt;0,"PREVOUS REPORT","N/A"))</f>
        <v>N/A</v>
      </c>
    </row>
    <row r="230" spans="2:6" x14ac:dyDescent="0.2">
      <c r="B230" s="2" t="s">
        <v>230</v>
      </c>
      <c r="C230" s="3" t="str">
        <f t="shared" si="9"/>
        <v>@oku-ui</v>
      </c>
      <c r="D230" s="3" t="str">
        <f t="shared" si="10"/>
        <v>dialog</v>
      </c>
      <c r="E230" s="3" t="str">
        <f t="shared" si="11"/>
        <v>v0.6.2</v>
      </c>
      <c r="F230" t="str">
        <f>IF(COUNTIFS('[1]25 November'!$E:$E,$D230)&gt;0, "NEW FINDING", IF(COUNTIFS('[1]20 September New Socket'!E:E,$D230)&gt;0,"PREVOUS REPORT","N/A"))</f>
        <v>N/A</v>
      </c>
    </row>
    <row r="231" spans="2:6" x14ac:dyDescent="0.2">
      <c r="B231" s="2" t="s">
        <v>231</v>
      </c>
      <c r="C231" s="3" t="str">
        <f t="shared" si="9"/>
        <v>@oku-ui</v>
      </c>
      <c r="D231" s="3" t="str">
        <f t="shared" si="10"/>
        <v>direction</v>
      </c>
      <c r="E231" s="3" t="str">
        <f t="shared" si="11"/>
        <v>v0.6.2</v>
      </c>
      <c r="F231" t="str">
        <f>IF(COUNTIFS('[1]25 November'!$E:$E,$D231)&gt;0, "NEW FINDING", IF(COUNTIFS('[1]20 September New Socket'!E:E,$D231)&gt;0,"PREVOUS REPORT","N/A"))</f>
        <v>N/A</v>
      </c>
    </row>
    <row r="232" spans="2:6" x14ac:dyDescent="0.2">
      <c r="B232" s="2" t="s">
        <v>232</v>
      </c>
      <c r="C232" s="3" t="str">
        <f t="shared" si="9"/>
        <v>@oku-ui</v>
      </c>
      <c r="D232" s="3" t="str">
        <f t="shared" si="10"/>
        <v>dismissable-layer</v>
      </c>
      <c r="E232" s="3" t="str">
        <f t="shared" si="11"/>
        <v>v0.6.2</v>
      </c>
      <c r="F232" t="str">
        <f>IF(COUNTIFS('[1]25 November'!$E:$E,$D232)&gt;0, "NEW FINDING", IF(COUNTIFS('[1]20 September New Socket'!E:E,$D232)&gt;0,"PREVOUS REPORT","N/A"))</f>
        <v>N/A</v>
      </c>
    </row>
    <row r="233" spans="2:6" x14ac:dyDescent="0.2">
      <c r="B233" s="2" t="s">
        <v>233</v>
      </c>
      <c r="C233" s="3" t="str">
        <f t="shared" si="9"/>
        <v>@oku-ui</v>
      </c>
      <c r="D233" s="3" t="str">
        <f t="shared" si="10"/>
        <v>focus-guards</v>
      </c>
      <c r="E233" s="3" t="str">
        <f t="shared" si="11"/>
        <v>v0.6.2</v>
      </c>
      <c r="F233" t="str">
        <f>IF(COUNTIFS('[1]25 November'!$E:$E,$D233)&gt;0, "NEW FINDING", IF(COUNTIFS('[1]20 September New Socket'!E:E,$D233)&gt;0,"PREVOUS REPORT","N/A"))</f>
        <v>N/A</v>
      </c>
    </row>
    <row r="234" spans="2:6" x14ac:dyDescent="0.2">
      <c r="B234" s="2" t="s">
        <v>234</v>
      </c>
      <c r="C234" s="3" t="str">
        <f t="shared" si="9"/>
        <v>@oku-ui</v>
      </c>
      <c r="D234" s="3" t="str">
        <f t="shared" si="10"/>
        <v>focus-scope</v>
      </c>
      <c r="E234" s="3" t="str">
        <f t="shared" si="11"/>
        <v>v0.6.2</v>
      </c>
      <c r="F234" t="str">
        <f>IF(COUNTIFS('[1]25 November'!$E:$E,$D234)&gt;0, "NEW FINDING", IF(COUNTIFS('[1]20 September New Socket'!E:E,$D234)&gt;0,"PREVOUS REPORT","N/A"))</f>
        <v>N/A</v>
      </c>
    </row>
    <row r="235" spans="2:6" x14ac:dyDescent="0.2">
      <c r="B235" s="2" t="s">
        <v>235</v>
      </c>
      <c r="C235" s="3" t="str">
        <f t="shared" si="9"/>
        <v>@oku-ui</v>
      </c>
      <c r="D235" s="3" t="str">
        <f t="shared" si="10"/>
        <v>hover-card</v>
      </c>
      <c r="E235" s="3" t="str">
        <f t="shared" si="11"/>
        <v>v0.6.2</v>
      </c>
      <c r="F235" t="str">
        <f>IF(COUNTIFS('[1]25 November'!$E:$E,$D235)&gt;0, "NEW FINDING", IF(COUNTIFS('[1]20 September New Socket'!E:E,$D235)&gt;0,"PREVOUS REPORT","N/A"))</f>
        <v>N/A</v>
      </c>
    </row>
    <row r="236" spans="2:6" x14ac:dyDescent="0.2">
      <c r="B236" s="2" t="s">
        <v>236</v>
      </c>
      <c r="C236" s="3" t="str">
        <f t="shared" si="9"/>
        <v>@oku-ui</v>
      </c>
      <c r="D236" s="3" t="str">
        <f t="shared" si="10"/>
        <v>label</v>
      </c>
      <c r="E236" s="3" t="str">
        <f t="shared" si="11"/>
        <v>v0.6.2</v>
      </c>
      <c r="F236" t="str">
        <f>IF(COUNTIFS('[1]25 November'!$E:$E,$D236)&gt;0, "NEW FINDING", IF(COUNTIFS('[1]20 September New Socket'!E:E,$D236)&gt;0,"PREVOUS REPORT","N/A"))</f>
        <v>N/A</v>
      </c>
    </row>
    <row r="237" spans="2:6" x14ac:dyDescent="0.2">
      <c r="B237" s="2" t="s">
        <v>237</v>
      </c>
      <c r="C237" s="3" t="str">
        <f t="shared" si="9"/>
        <v>@oku-ui</v>
      </c>
      <c r="D237" s="3" t="str">
        <f t="shared" si="10"/>
        <v>menu</v>
      </c>
      <c r="E237" s="3" t="str">
        <f t="shared" si="11"/>
        <v>v0.6.2</v>
      </c>
      <c r="F237" t="str">
        <f>IF(COUNTIFS('[1]25 November'!$E:$E,$D237)&gt;0, "NEW FINDING", IF(COUNTIFS('[1]20 September New Socket'!E:E,$D237)&gt;0,"PREVOUS REPORT","N/A"))</f>
        <v>N/A</v>
      </c>
    </row>
    <row r="238" spans="2:6" x14ac:dyDescent="0.2">
      <c r="B238" s="2" t="s">
        <v>238</v>
      </c>
      <c r="C238" s="3" t="str">
        <f t="shared" si="9"/>
        <v>@oku-ui</v>
      </c>
      <c r="D238" s="3" t="str">
        <f t="shared" si="10"/>
        <v>motion</v>
      </c>
      <c r="E238" s="3" t="str">
        <f t="shared" si="11"/>
        <v>v0.4.4</v>
      </c>
      <c r="F238" t="str">
        <f>IF(COUNTIFS('[1]25 November'!$E:$E,$D238)&gt;0, "NEW FINDING", IF(COUNTIFS('[1]20 September New Socket'!E:E,$D238)&gt;0,"PREVOUS REPORT","N/A"))</f>
        <v>N/A</v>
      </c>
    </row>
    <row r="239" spans="2:6" x14ac:dyDescent="0.2">
      <c r="B239" s="2" t="s">
        <v>239</v>
      </c>
      <c r="C239" s="3" t="str">
        <f t="shared" si="9"/>
        <v>@oku-ui</v>
      </c>
      <c r="D239" s="3" t="str">
        <f t="shared" si="10"/>
        <v>motion-nuxt</v>
      </c>
      <c r="E239" s="3" t="str">
        <f t="shared" si="11"/>
        <v>v0.2.2</v>
      </c>
      <c r="F239" t="str">
        <f>IF(COUNTIFS('[1]25 November'!$E:$E,$D239)&gt;0, "NEW FINDING", IF(COUNTIFS('[1]20 September New Socket'!E:E,$D239)&gt;0,"PREVOUS REPORT","N/A"))</f>
        <v>N/A</v>
      </c>
    </row>
    <row r="240" spans="2:6" x14ac:dyDescent="0.2">
      <c r="B240" s="2" t="s">
        <v>240</v>
      </c>
      <c r="C240" s="3" t="str">
        <f t="shared" si="9"/>
        <v>@oku-ui</v>
      </c>
      <c r="D240" s="3" t="str">
        <f t="shared" si="10"/>
        <v>popover</v>
      </c>
      <c r="E240" s="3" t="str">
        <f t="shared" si="11"/>
        <v>v0.6.2</v>
      </c>
      <c r="F240" t="str">
        <f>IF(COUNTIFS('[1]25 November'!$E:$E,$D240)&gt;0, "NEW FINDING", IF(COUNTIFS('[1]20 September New Socket'!E:E,$D240)&gt;0,"PREVOUS REPORT","N/A"))</f>
        <v>N/A</v>
      </c>
    </row>
    <row r="241" spans="2:6" x14ac:dyDescent="0.2">
      <c r="B241" s="2" t="s">
        <v>241</v>
      </c>
      <c r="C241" s="3" t="str">
        <f t="shared" si="9"/>
        <v>@oku-ui</v>
      </c>
      <c r="D241" s="3" t="str">
        <f t="shared" si="10"/>
        <v>popper</v>
      </c>
      <c r="E241" s="3" t="str">
        <f t="shared" si="11"/>
        <v>v0.6.2</v>
      </c>
      <c r="F241" t="str">
        <f>IF(COUNTIFS('[1]25 November'!$E:$E,$D241)&gt;0, "NEW FINDING", IF(COUNTIFS('[1]20 September New Socket'!E:E,$D241)&gt;0,"PREVOUS REPORT","N/A"))</f>
        <v>N/A</v>
      </c>
    </row>
    <row r="242" spans="2:6" x14ac:dyDescent="0.2">
      <c r="B242" s="2" t="s">
        <v>242</v>
      </c>
      <c r="C242" s="3" t="str">
        <f t="shared" si="9"/>
        <v>@oku-ui</v>
      </c>
      <c r="D242" s="3" t="str">
        <f t="shared" si="10"/>
        <v>portal</v>
      </c>
      <c r="E242" s="3" t="str">
        <f t="shared" si="11"/>
        <v>v0.6.2</v>
      </c>
      <c r="F242" t="str">
        <f>IF(COUNTIFS('[1]25 November'!$E:$E,$D242)&gt;0, "NEW FINDING", IF(COUNTIFS('[1]20 September New Socket'!E:E,$D242)&gt;0,"PREVOUS REPORT","N/A"))</f>
        <v>N/A</v>
      </c>
    </row>
    <row r="243" spans="2:6" x14ac:dyDescent="0.2">
      <c r="B243" s="2" t="s">
        <v>243</v>
      </c>
      <c r="C243" s="3" t="str">
        <f t="shared" si="9"/>
        <v>@oku-ui</v>
      </c>
      <c r="D243" s="3" t="str">
        <f t="shared" si="10"/>
        <v>presence</v>
      </c>
      <c r="E243" s="3" t="str">
        <f t="shared" si="11"/>
        <v>v0.6.2</v>
      </c>
      <c r="F243" t="str">
        <f>IF(COUNTIFS('[1]25 November'!$E:$E,$D243)&gt;0, "NEW FINDING", IF(COUNTIFS('[1]20 September New Socket'!E:E,$D243)&gt;0,"PREVOUS REPORT","N/A"))</f>
        <v>N/A</v>
      </c>
    </row>
    <row r="244" spans="2:6" x14ac:dyDescent="0.2">
      <c r="B244" s="2" t="s">
        <v>244</v>
      </c>
      <c r="C244" s="3" t="str">
        <f t="shared" si="9"/>
        <v>@oku-ui</v>
      </c>
      <c r="D244" s="3" t="str">
        <f t="shared" si="10"/>
        <v>primitive</v>
      </c>
      <c r="E244" s="3" t="str">
        <f t="shared" si="11"/>
        <v>v0.6.2</v>
      </c>
      <c r="F244" t="str">
        <f>IF(COUNTIFS('[1]25 November'!$E:$E,$D244)&gt;0, "NEW FINDING", IF(COUNTIFS('[1]20 September New Socket'!E:E,$D244)&gt;0,"PREVOUS REPORT","N/A"))</f>
        <v>N/A</v>
      </c>
    </row>
    <row r="245" spans="2:6" x14ac:dyDescent="0.2">
      <c r="B245" s="2" t="s">
        <v>245</v>
      </c>
      <c r="C245" s="3" t="str">
        <f t="shared" si="9"/>
        <v>@oku-ui</v>
      </c>
      <c r="D245" s="3" t="str">
        <f t="shared" si="10"/>
        <v>primitives</v>
      </c>
      <c r="E245" s="3" t="str">
        <f t="shared" si="11"/>
        <v>v0.7.9</v>
      </c>
      <c r="F245" t="str">
        <f>IF(COUNTIFS('[1]25 November'!$E:$E,$D245)&gt;0, "NEW FINDING", IF(COUNTIFS('[1]20 September New Socket'!E:E,$D245)&gt;0,"PREVOUS REPORT","N/A"))</f>
        <v>N/A</v>
      </c>
    </row>
    <row r="246" spans="2:6" x14ac:dyDescent="0.2">
      <c r="B246" s="2" t="s">
        <v>246</v>
      </c>
      <c r="C246" s="3" t="str">
        <f t="shared" si="9"/>
        <v>@oku-ui</v>
      </c>
      <c r="D246" s="3" t="str">
        <f t="shared" si="10"/>
        <v>primitives-nuxt</v>
      </c>
      <c r="E246" s="3" t="str">
        <f t="shared" si="11"/>
        <v>v0.3.1</v>
      </c>
      <c r="F246" t="str">
        <f>IF(COUNTIFS('[1]25 November'!$E:$E,$D246)&gt;0, "NEW FINDING", IF(COUNTIFS('[1]20 September New Socket'!E:E,$D246)&gt;0,"PREVOUS REPORT","N/A"))</f>
        <v>N/A</v>
      </c>
    </row>
    <row r="247" spans="2:6" x14ac:dyDescent="0.2">
      <c r="B247" s="2" t="s">
        <v>247</v>
      </c>
      <c r="C247" s="3" t="str">
        <f t="shared" si="9"/>
        <v>@oku-ui</v>
      </c>
      <c r="D247" s="3" t="str">
        <f t="shared" si="10"/>
        <v>progress</v>
      </c>
      <c r="E247" s="3" t="str">
        <f t="shared" si="11"/>
        <v>v0.6.2</v>
      </c>
      <c r="F247" t="str">
        <f>IF(COUNTIFS('[1]25 November'!$E:$E,$D247)&gt;0, "NEW FINDING", IF(COUNTIFS('[1]20 September New Socket'!E:E,$D247)&gt;0,"PREVOUS REPORT","N/A"))</f>
        <v>N/A</v>
      </c>
    </row>
    <row r="248" spans="2:6" x14ac:dyDescent="0.2">
      <c r="B248" s="2" t="s">
        <v>248</v>
      </c>
      <c r="C248" s="3" t="str">
        <f t="shared" si="9"/>
        <v>@oku-ui</v>
      </c>
      <c r="D248" s="3" t="str">
        <f t="shared" si="10"/>
        <v>provide</v>
      </c>
      <c r="E248" s="3" t="str">
        <f t="shared" si="11"/>
        <v>v0.6.2</v>
      </c>
      <c r="F248" t="str">
        <f>IF(COUNTIFS('[1]25 November'!$E:$E,$D248)&gt;0, "NEW FINDING", IF(COUNTIFS('[1]20 September New Socket'!E:E,$D248)&gt;0,"PREVOUS REPORT","N/A"))</f>
        <v>N/A</v>
      </c>
    </row>
    <row r="249" spans="2:6" x14ac:dyDescent="0.2">
      <c r="B249" s="2" t="s">
        <v>249</v>
      </c>
      <c r="C249" s="3" t="str">
        <f t="shared" si="9"/>
        <v>@oku-ui</v>
      </c>
      <c r="D249" s="3" t="str">
        <f t="shared" si="10"/>
        <v>radio-group</v>
      </c>
      <c r="E249" s="3" t="str">
        <f t="shared" si="11"/>
        <v>v0.6.2</v>
      </c>
      <c r="F249" t="str">
        <f>IF(COUNTIFS('[1]25 November'!$E:$E,$D249)&gt;0, "NEW FINDING", IF(COUNTIFS('[1]20 September New Socket'!E:E,$D249)&gt;0,"PREVOUS REPORT","N/A"))</f>
        <v>N/A</v>
      </c>
    </row>
    <row r="250" spans="2:6" x14ac:dyDescent="0.2">
      <c r="B250" s="2" t="s">
        <v>250</v>
      </c>
      <c r="C250" s="3" t="str">
        <f t="shared" si="9"/>
        <v>@oku-ui</v>
      </c>
      <c r="D250" s="3" t="str">
        <f t="shared" si="10"/>
        <v>roving-focus</v>
      </c>
      <c r="E250" s="3" t="str">
        <f t="shared" si="11"/>
        <v>v0.6.2</v>
      </c>
      <c r="F250" t="str">
        <f>IF(COUNTIFS('[1]25 November'!$E:$E,$D250)&gt;0, "NEW FINDING", IF(COUNTIFS('[1]20 September New Socket'!E:E,$D250)&gt;0,"PREVOUS REPORT","N/A"))</f>
        <v>N/A</v>
      </c>
    </row>
    <row r="251" spans="2:6" x14ac:dyDescent="0.2">
      <c r="B251" s="2" t="s">
        <v>251</v>
      </c>
      <c r="C251" s="3" t="str">
        <f t="shared" si="9"/>
        <v>@oku-ui</v>
      </c>
      <c r="D251" s="3" t="str">
        <f t="shared" si="10"/>
        <v>scroll-area</v>
      </c>
      <c r="E251" s="3" t="str">
        <f t="shared" si="11"/>
        <v>v0.6.2</v>
      </c>
      <c r="F251" t="str">
        <f>IF(COUNTIFS('[1]25 November'!$E:$E,$D251)&gt;0, "NEW FINDING", IF(COUNTIFS('[1]20 September New Socket'!E:E,$D251)&gt;0,"PREVOUS REPORT","N/A"))</f>
        <v>N/A</v>
      </c>
    </row>
    <row r="252" spans="2:6" x14ac:dyDescent="0.2">
      <c r="B252" s="2" t="s">
        <v>252</v>
      </c>
      <c r="C252" s="3" t="str">
        <f t="shared" si="9"/>
        <v>@oku-ui</v>
      </c>
      <c r="D252" s="3" t="str">
        <f t="shared" si="10"/>
        <v>separator</v>
      </c>
      <c r="E252" s="3" t="str">
        <f t="shared" si="11"/>
        <v>v0.6.2</v>
      </c>
      <c r="F252" t="str">
        <f>IF(COUNTIFS('[1]25 November'!$E:$E,$D252)&gt;0, "NEW FINDING", IF(COUNTIFS('[1]20 September New Socket'!E:E,$D252)&gt;0,"PREVOUS REPORT","N/A"))</f>
        <v>N/A</v>
      </c>
    </row>
    <row r="253" spans="2:6" x14ac:dyDescent="0.2">
      <c r="B253" s="2" t="s">
        <v>253</v>
      </c>
      <c r="C253" s="3" t="str">
        <f t="shared" si="9"/>
        <v>@oku-ui</v>
      </c>
      <c r="D253" s="3" t="str">
        <f t="shared" si="10"/>
        <v>slider</v>
      </c>
      <c r="E253" s="3" t="str">
        <f t="shared" si="11"/>
        <v>v0.6.2</v>
      </c>
      <c r="F253" t="str">
        <f>IF(COUNTIFS('[1]25 November'!$E:$E,$D253)&gt;0, "NEW FINDING", IF(COUNTIFS('[1]20 September New Socket'!E:E,$D253)&gt;0,"PREVOUS REPORT","N/A"))</f>
        <v>N/A</v>
      </c>
    </row>
    <row r="254" spans="2:6" x14ac:dyDescent="0.2">
      <c r="B254" s="2" t="s">
        <v>254</v>
      </c>
      <c r="C254" s="3" t="str">
        <f t="shared" si="9"/>
        <v>@oku-ui</v>
      </c>
      <c r="D254" s="3" t="str">
        <f t="shared" si="10"/>
        <v>slot</v>
      </c>
      <c r="E254" s="3" t="str">
        <f t="shared" si="11"/>
        <v>v0.6.2</v>
      </c>
      <c r="F254" t="str">
        <f>IF(COUNTIFS('[1]25 November'!$E:$E,$D254)&gt;0, "NEW FINDING", IF(COUNTIFS('[1]20 September New Socket'!E:E,$D254)&gt;0,"PREVOUS REPORT","N/A"))</f>
        <v>N/A</v>
      </c>
    </row>
    <row r="255" spans="2:6" x14ac:dyDescent="0.2">
      <c r="B255" s="2" t="s">
        <v>255</v>
      </c>
      <c r="C255" s="3" t="str">
        <f t="shared" si="9"/>
        <v>@oku-ui</v>
      </c>
      <c r="D255" s="3" t="str">
        <f t="shared" si="10"/>
        <v>switch</v>
      </c>
      <c r="E255" s="3" t="str">
        <f t="shared" si="11"/>
        <v>v0.6.2</v>
      </c>
      <c r="F255" t="str">
        <f>IF(COUNTIFS('[1]25 November'!$E:$E,$D255)&gt;0, "NEW FINDING", IF(COUNTIFS('[1]20 September New Socket'!E:E,$D255)&gt;0,"PREVOUS REPORT","N/A"))</f>
        <v>N/A</v>
      </c>
    </row>
    <row r="256" spans="2:6" x14ac:dyDescent="0.2">
      <c r="B256" s="2" t="s">
        <v>256</v>
      </c>
      <c r="C256" s="3" t="str">
        <f t="shared" si="9"/>
        <v>@oku-ui</v>
      </c>
      <c r="D256" s="3" t="str">
        <f t="shared" si="10"/>
        <v>tabs</v>
      </c>
      <c r="E256" s="3" t="str">
        <f t="shared" si="11"/>
        <v>v0.6.2</v>
      </c>
      <c r="F256" t="str">
        <f>IF(COUNTIFS('[1]25 November'!$E:$E,$D256)&gt;0, "NEW FINDING", IF(COUNTIFS('[1]20 September New Socket'!E:E,$D256)&gt;0,"PREVOUS REPORT","N/A"))</f>
        <v>N/A</v>
      </c>
    </row>
    <row r="257" spans="1:6" x14ac:dyDescent="0.2">
      <c r="B257" s="2" t="s">
        <v>257</v>
      </c>
      <c r="C257" s="3" t="str">
        <f t="shared" ref="C257:C320" si="12">IF(LEFT(B257,1)="@",LEFT(B257,FIND("/",B257)-1),"")</f>
        <v>@oku-ui</v>
      </c>
      <c r="D257" s="3" t="str">
        <f t="shared" ref="D257:D320" si="13">IF(LEFT(B257,1)="@",
    MID(
        B257,
        FIND("/",B257)+1,
        IFERROR(
            FIND("@",B257,FIND("/",B257)+1) - FIND("/",B257) - 1,
            LEN(B257) - FIND("/",B257)
        )
    ),
    IFERROR(LEFT(B257,FIND("@",B257)-1), B257)
)</f>
        <v>toast</v>
      </c>
      <c r="E257" s="3" t="str">
        <f t="shared" ref="E257:E320" si="14">RIGHT(B257,LEN(B257)-FIND("@",B257,LEN(B257)-LEN(SUBSTITUTE(B257,"@",""))+1))</f>
        <v>v0.6.2</v>
      </c>
      <c r="F257" t="str">
        <f>IF(COUNTIFS('[1]25 November'!$E:$E,$D257)&gt;0, "NEW FINDING", IF(COUNTIFS('[1]20 September New Socket'!E:E,$D257)&gt;0,"PREVOUS REPORT","N/A"))</f>
        <v>N/A</v>
      </c>
    </row>
    <row r="258" spans="1:6" x14ac:dyDescent="0.2">
      <c r="B258" s="2" t="s">
        <v>258</v>
      </c>
      <c r="C258" s="3" t="str">
        <f t="shared" si="12"/>
        <v>@oku-ui</v>
      </c>
      <c r="D258" s="3" t="str">
        <f t="shared" si="13"/>
        <v>toggle</v>
      </c>
      <c r="E258" s="3" t="str">
        <f t="shared" si="14"/>
        <v>v0.6.2</v>
      </c>
      <c r="F258" t="str">
        <f>IF(COUNTIFS('[1]25 November'!$E:$E,$D258)&gt;0, "NEW FINDING", IF(COUNTIFS('[1]20 September New Socket'!E:E,$D258)&gt;0,"PREVOUS REPORT","N/A"))</f>
        <v>N/A</v>
      </c>
    </row>
    <row r="259" spans="1:6" x14ac:dyDescent="0.2">
      <c r="B259" s="2" t="s">
        <v>259</v>
      </c>
      <c r="C259" s="3" t="str">
        <f t="shared" si="12"/>
        <v>@oku-ui</v>
      </c>
      <c r="D259" s="3" t="str">
        <f t="shared" si="13"/>
        <v>toggle-group</v>
      </c>
      <c r="E259" s="3" t="str">
        <f t="shared" si="14"/>
        <v>v0.6.2</v>
      </c>
      <c r="F259" t="str">
        <f>IF(COUNTIFS('[1]25 November'!$E:$E,$D259)&gt;0, "NEW FINDING", IF(COUNTIFS('[1]20 September New Socket'!E:E,$D259)&gt;0,"PREVOUS REPORT","N/A"))</f>
        <v>N/A</v>
      </c>
    </row>
    <row r="260" spans="1:6" x14ac:dyDescent="0.2">
      <c r="B260" s="2" t="s">
        <v>260</v>
      </c>
      <c r="C260" s="3" t="str">
        <f t="shared" si="12"/>
        <v>@oku-ui</v>
      </c>
      <c r="D260" s="3" t="str">
        <f t="shared" si="13"/>
        <v>toolbar</v>
      </c>
      <c r="E260" s="3" t="str">
        <f t="shared" si="14"/>
        <v>v0.6.2</v>
      </c>
      <c r="F260" t="str">
        <f>IF(COUNTIFS('[1]25 November'!$E:$E,$D260)&gt;0, "NEW FINDING", IF(COUNTIFS('[1]20 September New Socket'!E:E,$D260)&gt;0,"PREVOUS REPORT","N/A"))</f>
        <v>N/A</v>
      </c>
    </row>
    <row r="261" spans="1:6" x14ac:dyDescent="0.2">
      <c r="B261" s="2" t="s">
        <v>261</v>
      </c>
      <c r="C261" s="3" t="str">
        <f t="shared" si="12"/>
        <v>@oku-ui</v>
      </c>
      <c r="D261" s="3" t="str">
        <f t="shared" si="13"/>
        <v>tooltip</v>
      </c>
      <c r="E261" s="3" t="str">
        <f t="shared" si="14"/>
        <v>v0.6.2</v>
      </c>
      <c r="F261" t="str">
        <f>IF(COUNTIFS('[1]25 November'!$E:$E,$D261)&gt;0, "NEW FINDING", IF(COUNTIFS('[1]20 September New Socket'!E:E,$D261)&gt;0,"PREVOUS REPORT","N/A"))</f>
        <v>N/A</v>
      </c>
    </row>
    <row r="262" spans="1:6" x14ac:dyDescent="0.2">
      <c r="B262" s="2" t="s">
        <v>262</v>
      </c>
      <c r="C262" s="3" t="str">
        <f t="shared" si="12"/>
        <v>@oku-ui</v>
      </c>
      <c r="D262" s="3" t="str">
        <f t="shared" si="13"/>
        <v>use-composable</v>
      </c>
      <c r="E262" s="3" t="str">
        <f t="shared" si="14"/>
        <v>v0.6.2</v>
      </c>
      <c r="F262" t="str">
        <f>IF(COUNTIFS('[1]25 November'!$E:$E,$D262)&gt;0, "NEW FINDING", IF(COUNTIFS('[1]20 September New Socket'!E:E,$D262)&gt;0,"PREVOUS REPORT","N/A"))</f>
        <v>N/A</v>
      </c>
    </row>
    <row r="263" spans="1:6" x14ac:dyDescent="0.2">
      <c r="A263" s="1" t="s">
        <v>22</v>
      </c>
      <c r="B263" s="2" t="s">
        <v>263</v>
      </c>
      <c r="C263" s="3" t="str">
        <f t="shared" si="12"/>
        <v>@oku-ui</v>
      </c>
      <c r="D263" s="3" t="str">
        <f t="shared" si="13"/>
        <v>utils</v>
      </c>
      <c r="E263" s="3" t="str">
        <f t="shared" si="14"/>
        <v>v0.6.2</v>
      </c>
      <c r="F263" t="str">
        <f>IF(COUNTIFS('[1]25 November'!$E:$E,$D263)&gt;0, "NEW FINDING", IF(COUNTIFS('[1]20 September New Socket'!E:E,$D263)&gt;0,"PREVOUS REPORT","N/A"))</f>
        <v>PREVOUS REPORT</v>
      </c>
    </row>
    <row r="264" spans="1:6" x14ac:dyDescent="0.2">
      <c r="B264" s="2" t="s">
        <v>264</v>
      </c>
      <c r="C264" s="3" t="str">
        <f t="shared" si="12"/>
        <v>@oku-ui</v>
      </c>
      <c r="D264" s="3" t="str">
        <f t="shared" si="13"/>
        <v>visually-hidden</v>
      </c>
      <c r="E264" s="3" t="str">
        <f t="shared" si="14"/>
        <v>v0.6.2</v>
      </c>
      <c r="F264" t="str">
        <f>IF(COUNTIFS('[1]25 November'!$E:$E,$D264)&gt;0, "NEW FINDING", IF(COUNTIFS('[1]20 September New Socket'!E:E,$D264)&gt;0,"PREVOUS REPORT","N/A"))</f>
        <v>N/A</v>
      </c>
    </row>
    <row r="265" spans="1:6" x14ac:dyDescent="0.2">
      <c r="A265" s="1">
        <v>45986</v>
      </c>
      <c r="B265" s="2" t="s">
        <v>265</v>
      </c>
      <c r="C265" s="3" t="str">
        <f t="shared" si="12"/>
        <v>@orbitgtbelgium</v>
      </c>
      <c r="D265" s="3" t="str">
        <f t="shared" si="13"/>
        <v>mapbox-gl-draw-cut-polygon-mode</v>
      </c>
      <c r="E265" s="3" t="str">
        <f t="shared" si="14"/>
        <v>v2.0.5</v>
      </c>
      <c r="F265" t="str">
        <f>IF(COUNTIFS('[1]25 November'!$E:$E,$D265)&gt;0, "NEW FINDING", IF(COUNTIFS('[1]20 September New Socket'!E:E,$D265)&gt;0,"PREVOUS REPORT","N/A"))</f>
        <v>NEW FINDING</v>
      </c>
    </row>
    <row r="266" spans="1:6" x14ac:dyDescent="0.2">
      <c r="A266" s="1">
        <v>45986</v>
      </c>
      <c r="B266" s="2" t="s">
        <v>266</v>
      </c>
      <c r="C266" s="3" t="str">
        <f t="shared" si="12"/>
        <v>@orbitgtbelgium</v>
      </c>
      <c r="D266" s="3" t="str">
        <f t="shared" si="13"/>
        <v>mapbox-gl-draw-scale-rotate-mode</v>
      </c>
      <c r="E266" s="3" t="str">
        <f t="shared" si="14"/>
        <v>v1.1.1</v>
      </c>
      <c r="F266" t="str">
        <f>IF(COUNTIFS('[1]25 November'!$E:$E,$D266)&gt;0, "NEW FINDING", IF(COUNTIFS('[1]20 September New Socket'!E:E,$D266)&gt;0,"PREVOUS REPORT","N/A"))</f>
        <v>NEW FINDING</v>
      </c>
    </row>
    <row r="267" spans="1:6" x14ac:dyDescent="0.2">
      <c r="A267" s="1">
        <v>45986</v>
      </c>
      <c r="B267" s="2" t="s">
        <v>267</v>
      </c>
      <c r="C267" s="3" t="str">
        <f t="shared" si="12"/>
        <v>@orbitgtbelgium</v>
      </c>
      <c r="D267" s="3" t="str">
        <f t="shared" si="13"/>
        <v>orbit-components</v>
      </c>
      <c r="E267" s="3" t="str">
        <f t="shared" si="14"/>
        <v>v1.2.9</v>
      </c>
      <c r="F267" t="str">
        <f>IF(COUNTIFS('[1]25 November'!$E:$E,$D267)&gt;0, "NEW FINDING", IF(COUNTIFS('[1]20 September New Socket'!E:E,$D267)&gt;0,"PREVOUS REPORT","N/A"))</f>
        <v>NEW FINDING</v>
      </c>
    </row>
    <row r="268" spans="1:6" x14ac:dyDescent="0.2">
      <c r="A268" s="1">
        <v>45986</v>
      </c>
      <c r="B268" s="2" t="s">
        <v>268</v>
      </c>
      <c r="C268" s="3" t="str">
        <f t="shared" si="12"/>
        <v>@orbitgtbelgium</v>
      </c>
      <c r="D268" s="3" t="str">
        <f t="shared" si="13"/>
        <v>time-slider</v>
      </c>
      <c r="E268" s="3" t="str">
        <f t="shared" si="14"/>
        <v>v1.0.187</v>
      </c>
      <c r="F268" t="str">
        <f>IF(COUNTIFS('[1]25 November'!$E:$E,$D268)&gt;0, "NEW FINDING", IF(COUNTIFS('[1]20 September New Socket'!E:E,$D268)&gt;0,"PREVOUS REPORT","N/A"))</f>
        <v>NEW FINDING</v>
      </c>
    </row>
    <row r="269" spans="1:6" x14ac:dyDescent="0.2">
      <c r="B269" s="2" t="s">
        <v>269</v>
      </c>
      <c r="C269" s="3" t="str">
        <f t="shared" si="12"/>
        <v>@osmanekrem</v>
      </c>
      <c r="D269" s="3" t="str">
        <f t="shared" si="13"/>
        <v>bmad</v>
      </c>
      <c r="E269" s="3" t="str">
        <f t="shared" si="14"/>
        <v>v1.0.6</v>
      </c>
      <c r="F269" t="str">
        <f>IF(COUNTIFS('[1]25 November'!$E:$E,$D269)&gt;0, "NEW FINDING", IF(COUNTIFS('[1]20 September New Socket'!E:E,$D269)&gt;0,"PREVOUS REPORT","N/A"))</f>
        <v>N/A</v>
      </c>
    </row>
    <row r="270" spans="1:6" x14ac:dyDescent="0.2">
      <c r="A270" s="1">
        <v>45986</v>
      </c>
      <c r="B270" s="2" t="s">
        <v>270</v>
      </c>
      <c r="C270" s="3" t="str">
        <f t="shared" si="12"/>
        <v>@osmanekrem</v>
      </c>
      <c r="D270" s="3" t="str">
        <f t="shared" si="13"/>
        <v>error-handler</v>
      </c>
      <c r="E270" s="3" t="str">
        <f t="shared" si="14"/>
        <v>v1.2.2</v>
      </c>
      <c r="F270" t="str">
        <f>IF(COUNTIFS('[1]25 November'!$E:$E,$D270)&gt;0, "NEW FINDING", IF(COUNTIFS('[1]20 September New Socket'!E:E,$D270)&gt;0,"PREVOUS REPORT","N/A"))</f>
        <v>NEW FINDING</v>
      </c>
    </row>
    <row r="271" spans="1:6" x14ac:dyDescent="0.2">
      <c r="A271" s="1">
        <v>45986</v>
      </c>
      <c r="B271" s="2" t="s">
        <v>271</v>
      </c>
      <c r="C271" s="3" t="str">
        <f t="shared" si="12"/>
        <v>@pergel</v>
      </c>
      <c r="D271" s="3" t="str">
        <f t="shared" si="13"/>
        <v>cli</v>
      </c>
      <c r="E271" s="3" t="str">
        <f t="shared" si="14"/>
        <v>v0.11.1</v>
      </c>
      <c r="F271" t="str">
        <f>IF(COUNTIFS('[1]25 November'!$E:$E,$D271)&gt;0, "NEW FINDING", IF(COUNTIFS('[1]20 September New Socket'!E:E,$D271)&gt;0,"PREVOUS REPORT","N/A"))</f>
        <v>NEW FINDING</v>
      </c>
    </row>
    <row r="272" spans="1:6" x14ac:dyDescent="0.2">
      <c r="B272" s="2" t="s">
        <v>272</v>
      </c>
      <c r="C272" s="3" t="str">
        <f t="shared" si="12"/>
        <v>@pergel</v>
      </c>
      <c r="D272" s="3" t="str">
        <f t="shared" si="13"/>
        <v>module-box</v>
      </c>
      <c r="E272" s="3" t="str">
        <f t="shared" si="14"/>
        <v>v0.6.1</v>
      </c>
      <c r="F272" t="str">
        <f>IF(COUNTIFS('[1]25 November'!$E:$E,$D272)&gt;0, "NEW FINDING", IF(COUNTIFS('[1]20 September New Socket'!E:E,$D272)&gt;0,"PREVOUS REPORT","N/A"))</f>
        <v>N/A</v>
      </c>
    </row>
    <row r="273" spans="1:6" x14ac:dyDescent="0.2">
      <c r="B273" s="2" t="s">
        <v>273</v>
      </c>
      <c r="C273" s="3" t="str">
        <f t="shared" si="12"/>
        <v>@pergel</v>
      </c>
      <c r="D273" s="3" t="str">
        <f t="shared" si="13"/>
        <v>module-graphql</v>
      </c>
      <c r="E273" s="3" t="str">
        <f t="shared" si="14"/>
        <v>v0.6.1</v>
      </c>
      <c r="F273" t="str">
        <f>IF(COUNTIFS('[1]25 November'!$E:$E,$D273)&gt;0, "NEW FINDING", IF(COUNTIFS('[1]20 September New Socket'!E:E,$D273)&gt;0,"PREVOUS REPORT","N/A"))</f>
        <v>N/A</v>
      </c>
    </row>
    <row r="274" spans="1:6" x14ac:dyDescent="0.2">
      <c r="B274" s="2" t="s">
        <v>274</v>
      </c>
      <c r="C274" s="3" t="str">
        <f t="shared" si="12"/>
        <v>@pergel</v>
      </c>
      <c r="D274" s="3" t="str">
        <f t="shared" si="13"/>
        <v>module-ui</v>
      </c>
      <c r="E274" s="3" t="str">
        <f t="shared" si="14"/>
        <v>v0.0.9</v>
      </c>
      <c r="F274" t="str">
        <f>IF(COUNTIFS('[1]25 November'!$E:$E,$D274)&gt;0, "NEW FINDING", IF(COUNTIFS('[1]20 September New Socket'!E:E,$D274)&gt;0,"PREVOUS REPORT","N/A"))</f>
        <v>N/A</v>
      </c>
    </row>
    <row r="275" spans="1:6" x14ac:dyDescent="0.2">
      <c r="A275" s="1">
        <v>45986</v>
      </c>
      <c r="B275" s="2" t="s">
        <v>275</v>
      </c>
      <c r="C275" s="3" t="str">
        <f t="shared" si="12"/>
        <v>@pergel</v>
      </c>
      <c r="D275" s="3" t="str">
        <f t="shared" si="13"/>
        <v>nuxt</v>
      </c>
      <c r="E275" s="3" t="str">
        <f t="shared" si="14"/>
        <v>v0.25.5</v>
      </c>
      <c r="F275" t="str">
        <f>IF(COUNTIFS('[1]25 November'!$E:$E,$D275)&gt;0, "NEW FINDING", IF(COUNTIFS('[1]20 September New Socket'!E:E,$D275)&gt;0,"PREVOUS REPORT","N/A"))</f>
        <v>NEW FINDING</v>
      </c>
    </row>
    <row r="276" spans="1:6" x14ac:dyDescent="0.2">
      <c r="A276" s="1">
        <v>45986</v>
      </c>
      <c r="B276" s="2" t="s">
        <v>276</v>
      </c>
      <c r="C276" s="3" t="str">
        <f t="shared" si="12"/>
        <v>@posthog</v>
      </c>
      <c r="D276" s="3" t="str">
        <f t="shared" si="13"/>
        <v>agent</v>
      </c>
      <c r="E276" s="3" t="str">
        <f t="shared" si="14"/>
        <v>v1.24.1</v>
      </c>
      <c r="F276" t="str">
        <f>IF(COUNTIFS('[1]25 November'!$E:$E,$D276)&gt;0, "NEW FINDING", IF(COUNTIFS('[1]20 September New Socket'!E:E,$D276)&gt;0,"PREVOUS REPORT","N/A"))</f>
        <v>NEW FINDING</v>
      </c>
    </row>
    <row r="277" spans="1:6" x14ac:dyDescent="0.2">
      <c r="A277" s="1">
        <v>45986</v>
      </c>
      <c r="B277" s="2" t="s">
        <v>277</v>
      </c>
      <c r="C277" s="3" t="str">
        <f t="shared" si="12"/>
        <v>@posthog</v>
      </c>
      <c r="D277" s="3" t="str">
        <f t="shared" si="13"/>
        <v>ai</v>
      </c>
      <c r="E277" s="3" t="str">
        <f t="shared" si="14"/>
        <v>v7.1.2</v>
      </c>
      <c r="F277" t="str">
        <f>IF(COUNTIFS('[1]25 November'!$E:$E,$D277)&gt;0, "NEW FINDING", IF(COUNTIFS('[1]20 September New Socket'!E:E,$D277)&gt;0,"PREVOUS REPORT","N/A"))</f>
        <v>NEW FINDING</v>
      </c>
    </row>
    <row r="278" spans="1:6" x14ac:dyDescent="0.2">
      <c r="A278" s="1">
        <v>45986</v>
      </c>
      <c r="B278" s="2" t="s">
        <v>278</v>
      </c>
      <c r="C278" s="3" t="str">
        <f t="shared" si="12"/>
        <v>@posthog</v>
      </c>
      <c r="D278" s="3" t="str">
        <f t="shared" si="13"/>
        <v>automatic-cohorts-plugin</v>
      </c>
      <c r="E278" s="3" t="str">
        <f t="shared" si="14"/>
        <v>v0.0.8</v>
      </c>
      <c r="F278" t="str">
        <f>IF(COUNTIFS('[1]25 November'!$E:$E,$D278)&gt;0, "NEW FINDING", IF(COUNTIFS('[1]20 September New Socket'!E:E,$D278)&gt;0,"PREVOUS REPORT","N/A"))</f>
        <v>NEW FINDING</v>
      </c>
    </row>
    <row r="279" spans="1:6" x14ac:dyDescent="0.2">
      <c r="A279" s="1">
        <v>45986</v>
      </c>
      <c r="B279" s="2" t="s">
        <v>279</v>
      </c>
      <c r="C279" s="3" t="str">
        <f t="shared" si="12"/>
        <v>@posthog</v>
      </c>
      <c r="D279" s="3" t="str">
        <f t="shared" si="13"/>
        <v>bitbucket-release-tracker</v>
      </c>
      <c r="E279" s="3" t="str">
        <f t="shared" si="14"/>
        <v>v0.0.8</v>
      </c>
      <c r="F279" t="str">
        <f>IF(COUNTIFS('[1]25 November'!$E:$E,$D279)&gt;0, "NEW FINDING", IF(COUNTIFS('[1]20 September New Socket'!E:E,$D279)&gt;0,"PREVOUS REPORT","N/A"))</f>
        <v>NEW FINDING</v>
      </c>
    </row>
    <row r="280" spans="1:6" x14ac:dyDescent="0.2">
      <c r="A280" s="1">
        <v>45986</v>
      </c>
      <c r="B280" s="2" t="s">
        <v>280</v>
      </c>
      <c r="C280" s="3" t="str">
        <f t="shared" si="12"/>
        <v>@posthog</v>
      </c>
      <c r="D280" s="3" t="str">
        <f t="shared" si="13"/>
        <v>cli</v>
      </c>
      <c r="E280" s="3" t="str">
        <f t="shared" si="14"/>
        <v>v0.5.15</v>
      </c>
      <c r="F280" t="str">
        <f>IF(COUNTIFS('[1]25 November'!$E:$E,$D280)&gt;0, "NEW FINDING", IF(COUNTIFS('[1]20 September New Socket'!E:E,$D280)&gt;0,"PREVOUS REPORT","N/A"))</f>
        <v>NEW FINDING</v>
      </c>
    </row>
    <row r="281" spans="1:6" x14ac:dyDescent="0.2">
      <c r="A281" s="1">
        <v>45986</v>
      </c>
      <c r="B281" s="2" t="s">
        <v>281</v>
      </c>
      <c r="C281" s="3" t="str">
        <f t="shared" si="12"/>
        <v>@posthog</v>
      </c>
      <c r="D281" s="3" t="str">
        <f t="shared" si="13"/>
        <v>clickhouse</v>
      </c>
      <c r="E281" s="3" t="str">
        <f t="shared" si="14"/>
        <v>v1.7.1</v>
      </c>
      <c r="F281" t="str">
        <f>IF(COUNTIFS('[1]25 November'!$E:$E,$D281)&gt;0, "NEW FINDING", IF(COUNTIFS('[1]20 September New Socket'!E:E,$D281)&gt;0,"PREVOUS REPORT","N/A"))</f>
        <v>NEW FINDING</v>
      </c>
    </row>
    <row r="282" spans="1:6" x14ac:dyDescent="0.2">
      <c r="A282" s="1">
        <v>45986</v>
      </c>
      <c r="B282" s="2" t="s">
        <v>282</v>
      </c>
      <c r="C282" s="3" t="str">
        <f t="shared" si="12"/>
        <v>@posthog</v>
      </c>
      <c r="D282" s="3" t="str">
        <f t="shared" si="13"/>
        <v>core</v>
      </c>
      <c r="E282" s="3" t="str">
        <f t="shared" si="14"/>
        <v>v1.5.6</v>
      </c>
      <c r="F282" t="str">
        <f>IF(COUNTIFS('[1]25 November'!$E:$E,$D282)&gt;0, "NEW FINDING", IF(COUNTIFS('[1]20 September New Socket'!E:E,$D282)&gt;0,"PREVOUS REPORT","N/A"))</f>
        <v>NEW FINDING</v>
      </c>
    </row>
    <row r="283" spans="1:6" x14ac:dyDescent="0.2">
      <c r="A283" s="1">
        <v>45986</v>
      </c>
      <c r="B283" s="2" t="s">
        <v>283</v>
      </c>
      <c r="C283" s="3" t="str">
        <f t="shared" si="12"/>
        <v>@posthog</v>
      </c>
      <c r="D283" s="3" t="str">
        <f t="shared" si="13"/>
        <v>currency-normalization-plugin</v>
      </c>
      <c r="E283" s="3" t="str">
        <f t="shared" si="14"/>
        <v>v0.0.8</v>
      </c>
      <c r="F283" t="str">
        <f>IF(COUNTIFS('[1]25 November'!$E:$E,$D283)&gt;0, "NEW FINDING", IF(COUNTIFS('[1]20 September New Socket'!E:E,$D283)&gt;0,"PREVOUS REPORT","N/A"))</f>
        <v>NEW FINDING</v>
      </c>
    </row>
    <row r="284" spans="1:6" x14ac:dyDescent="0.2">
      <c r="A284" s="1">
        <v>45986</v>
      </c>
      <c r="B284" s="2" t="s">
        <v>284</v>
      </c>
      <c r="C284" s="3" t="str">
        <f t="shared" si="12"/>
        <v>@posthog</v>
      </c>
      <c r="D284" s="3" t="str">
        <f t="shared" si="13"/>
        <v>customerio-plugin</v>
      </c>
      <c r="E284" s="3" t="str">
        <f t="shared" si="14"/>
        <v>v0.0.8</v>
      </c>
      <c r="F284" t="str">
        <f>IF(COUNTIFS('[1]25 November'!$E:$E,$D284)&gt;0, "NEW FINDING", IF(COUNTIFS('[1]20 September New Socket'!E:E,$D284)&gt;0,"PREVOUS REPORT","N/A"))</f>
        <v>NEW FINDING</v>
      </c>
    </row>
    <row r="285" spans="1:6" x14ac:dyDescent="0.2">
      <c r="A285" s="1">
        <v>45986</v>
      </c>
      <c r="B285" s="2" t="s">
        <v>285</v>
      </c>
      <c r="C285" s="3" t="str">
        <f t="shared" si="12"/>
        <v>@posthog</v>
      </c>
      <c r="D285" s="3" t="str">
        <f t="shared" si="13"/>
        <v>databricks-plugin</v>
      </c>
      <c r="E285" s="3" t="str">
        <f t="shared" si="14"/>
        <v>v0.0.8</v>
      </c>
      <c r="F285" t="str">
        <f>IF(COUNTIFS('[1]25 November'!$E:$E,$D285)&gt;0, "NEW FINDING", IF(COUNTIFS('[1]20 September New Socket'!E:E,$D285)&gt;0,"PREVOUS REPORT","N/A"))</f>
        <v>NEW FINDING</v>
      </c>
    </row>
    <row r="286" spans="1:6" x14ac:dyDescent="0.2">
      <c r="A286" s="1">
        <v>45986</v>
      </c>
      <c r="B286" s="2" t="s">
        <v>286</v>
      </c>
      <c r="C286" s="3" t="str">
        <f t="shared" si="12"/>
        <v>@posthog</v>
      </c>
      <c r="D286" s="3" t="str">
        <f t="shared" si="13"/>
        <v>drop-events-on-property-plugin</v>
      </c>
      <c r="E286" s="3" t="str">
        <f t="shared" si="14"/>
        <v>v0.0.8</v>
      </c>
      <c r="F286" t="str">
        <f>IF(COUNTIFS('[1]25 November'!$E:$E,$D286)&gt;0, "NEW FINDING", IF(COUNTIFS('[1]20 September New Socket'!E:E,$D286)&gt;0,"PREVOUS REPORT","N/A"))</f>
        <v>NEW FINDING</v>
      </c>
    </row>
    <row r="287" spans="1:6" x14ac:dyDescent="0.2">
      <c r="A287" s="1">
        <v>45986</v>
      </c>
      <c r="B287" s="2" t="s">
        <v>287</v>
      </c>
      <c r="C287" s="3" t="str">
        <f t="shared" si="12"/>
        <v>@posthog</v>
      </c>
      <c r="D287" s="3" t="str">
        <f t="shared" si="13"/>
        <v>event-sequence-timer-plugin</v>
      </c>
      <c r="E287" s="3" t="str">
        <f t="shared" si="14"/>
        <v>v0.0.8</v>
      </c>
      <c r="F287" t="str">
        <f>IF(COUNTIFS('[1]25 November'!$E:$E,$D287)&gt;0, "NEW FINDING", IF(COUNTIFS('[1]20 September New Socket'!E:E,$D287)&gt;0,"PREVOUS REPORT","N/A"))</f>
        <v>NEW FINDING</v>
      </c>
    </row>
    <row r="288" spans="1:6" x14ac:dyDescent="0.2">
      <c r="A288" s="1">
        <v>45986</v>
      </c>
      <c r="B288" s="2" t="s">
        <v>288</v>
      </c>
      <c r="C288" s="3" t="str">
        <f t="shared" si="12"/>
        <v>@posthog</v>
      </c>
      <c r="D288" s="3" t="str">
        <f t="shared" si="13"/>
        <v>filter-out-plugin</v>
      </c>
      <c r="E288" s="3" t="str">
        <f t="shared" si="14"/>
        <v>v0.0.8</v>
      </c>
      <c r="F288" t="str">
        <f>IF(COUNTIFS('[1]25 November'!$E:$E,$D288)&gt;0, "NEW FINDING", IF(COUNTIFS('[1]20 September New Socket'!E:E,$D288)&gt;0,"PREVOUS REPORT","N/A"))</f>
        <v>NEW FINDING</v>
      </c>
    </row>
    <row r="289" spans="1:6" x14ac:dyDescent="0.2">
      <c r="A289" s="1">
        <v>45986</v>
      </c>
      <c r="B289" s="2" t="s">
        <v>289</v>
      </c>
      <c r="C289" s="3" t="str">
        <f t="shared" si="12"/>
        <v>@posthog</v>
      </c>
      <c r="D289" s="3" t="str">
        <f t="shared" si="13"/>
        <v>first-time-event-tracker</v>
      </c>
      <c r="E289" s="3" t="str">
        <f t="shared" si="14"/>
        <v>v0.0.8</v>
      </c>
      <c r="F289" t="str">
        <f>IF(COUNTIFS('[1]25 November'!$E:$E,$D289)&gt;0, "NEW FINDING", IF(COUNTIFS('[1]20 September New Socket'!E:E,$D289)&gt;0,"PREVOUS REPORT","N/A"))</f>
        <v>NEW FINDING</v>
      </c>
    </row>
    <row r="290" spans="1:6" x14ac:dyDescent="0.2">
      <c r="A290" s="1">
        <v>45986</v>
      </c>
      <c r="B290" s="2" t="s">
        <v>290</v>
      </c>
      <c r="C290" s="3" t="str">
        <f t="shared" si="12"/>
        <v>@posthog</v>
      </c>
      <c r="D290" s="3" t="str">
        <f t="shared" si="13"/>
        <v>geoip-plugin</v>
      </c>
      <c r="E290" s="3" t="str">
        <f t="shared" si="14"/>
        <v>v0.0.8</v>
      </c>
      <c r="F290" t="str">
        <f>IF(COUNTIFS('[1]25 November'!$E:$E,$D290)&gt;0, "NEW FINDING", IF(COUNTIFS('[1]20 September New Socket'!E:E,$D290)&gt;0,"PREVOUS REPORT","N/A"))</f>
        <v>NEW FINDING</v>
      </c>
    </row>
    <row r="291" spans="1:6" x14ac:dyDescent="0.2">
      <c r="A291" s="1">
        <v>45986</v>
      </c>
      <c r="B291" s="2" t="s">
        <v>291</v>
      </c>
      <c r="C291" s="3" t="str">
        <f t="shared" si="12"/>
        <v>@posthog</v>
      </c>
      <c r="D291" s="3" t="str">
        <f t="shared" si="13"/>
        <v>github-release-tracking-plugin</v>
      </c>
      <c r="E291" s="3" t="str">
        <f t="shared" si="14"/>
        <v>v0.0.8</v>
      </c>
      <c r="F291" t="str">
        <f>IF(COUNTIFS('[1]25 November'!$E:$E,$D291)&gt;0, "NEW FINDING", IF(COUNTIFS('[1]20 September New Socket'!E:E,$D291)&gt;0,"PREVOUS REPORT","N/A"))</f>
        <v>NEW FINDING</v>
      </c>
    </row>
    <row r="292" spans="1:6" x14ac:dyDescent="0.2">
      <c r="A292" s="1">
        <v>45986</v>
      </c>
      <c r="B292" s="2" t="s">
        <v>292</v>
      </c>
      <c r="C292" s="3" t="str">
        <f t="shared" si="12"/>
        <v>@posthog</v>
      </c>
      <c r="D292" s="3" t="str">
        <f t="shared" si="13"/>
        <v>gitub-star-sync-plugin</v>
      </c>
      <c r="E292" s="3" t="str">
        <f t="shared" si="14"/>
        <v>v0.0.8</v>
      </c>
      <c r="F292" t="str">
        <f>IF(COUNTIFS('[1]25 November'!$E:$E,$D292)&gt;0, "NEW FINDING", IF(COUNTIFS('[1]20 September New Socket'!E:E,$D292)&gt;0,"PREVOUS REPORT","N/A"))</f>
        <v>NEW FINDING</v>
      </c>
    </row>
    <row r="293" spans="1:6" x14ac:dyDescent="0.2">
      <c r="A293" s="1">
        <v>45986</v>
      </c>
      <c r="B293" s="2" t="s">
        <v>293</v>
      </c>
      <c r="C293" s="3" t="str">
        <f t="shared" si="12"/>
        <v>@posthog</v>
      </c>
      <c r="D293" s="3" t="str">
        <f t="shared" si="13"/>
        <v>heartbeat-plugin</v>
      </c>
      <c r="E293" s="3" t="str">
        <f t="shared" si="14"/>
        <v>v0.0.8</v>
      </c>
      <c r="F293" t="str">
        <f>IF(COUNTIFS('[1]25 November'!$E:$E,$D293)&gt;0, "NEW FINDING", IF(COUNTIFS('[1]20 September New Socket'!E:E,$D293)&gt;0,"PREVOUS REPORT","N/A"))</f>
        <v>NEW FINDING</v>
      </c>
    </row>
    <row r="294" spans="1:6" x14ac:dyDescent="0.2">
      <c r="A294" s="1">
        <v>45986</v>
      </c>
      <c r="B294" s="2" t="s">
        <v>294</v>
      </c>
      <c r="C294" s="3" t="str">
        <f t="shared" si="12"/>
        <v>@posthog</v>
      </c>
      <c r="D294" s="3" t="str">
        <f t="shared" si="13"/>
        <v>hedgehog-mode</v>
      </c>
      <c r="E294" s="3" t="str">
        <f t="shared" si="14"/>
        <v>v0.0.42</v>
      </c>
      <c r="F294" t="str">
        <f>IF(COUNTIFS('[1]25 November'!$E:$E,$D294)&gt;0, "NEW FINDING", IF(COUNTIFS('[1]20 September New Socket'!E:E,$D294)&gt;0,"PREVOUS REPORT","N/A"))</f>
        <v>NEW FINDING</v>
      </c>
    </row>
    <row r="295" spans="1:6" x14ac:dyDescent="0.2">
      <c r="A295" s="1">
        <v>45986</v>
      </c>
      <c r="B295" s="2" t="s">
        <v>295</v>
      </c>
      <c r="C295" s="3" t="str">
        <f t="shared" si="12"/>
        <v>@posthog</v>
      </c>
      <c r="D295" s="3" t="str">
        <f t="shared" si="13"/>
        <v>icons</v>
      </c>
      <c r="E295" s="3" t="str">
        <f t="shared" si="14"/>
        <v>v0.36.1</v>
      </c>
      <c r="F295" t="str">
        <f>IF(COUNTIFS('[1]25 November'!$E:$E,$D295)&gt;0, "NEW FINDING", IF(COUNTIFS('[1]20 September New Socket'!E:E,$D295)&gt;0,"PREVOUS REPORT","N/A"))</f>
        <v>NEW FINDING</v>
      </c>
    </row>
    <row r="296" spans="1:6" x14ac:dyDescent="0.2">
      <c r="A296" s="1">
        <v>45986</v>
      </c>
      <c r="B296" s="2" t="s">
        <v>296</v>
      </c>
      <c r="C296" s="3" t="str">
        <f t="shared" si="12"/>
        <v>@posthog</v>
      </c>
      <c r="D296" s="3" t="str">
        <f t="shared" si="13"/>
        <v>ingestion-alert-plugin</v>
      </c>
      <c r="E296" s="3" t="str">
        <f t="shared" si="14"/>
        <v>v0.0.8</v>
      </c>
      <c r="F296" t="str">
        <f>IF(COUNTIFS('[1]25 November'!$E:$E,$D296)&gt;0, "NEW FINDING", IF(COUNTIFS('[1]20 September New Socket'!E:E,$D296)&gt;0,"PREVOUS REPORT","N/A"))</f>
        <v>NEW FINDING</v>
      </c>
    </row>
    <row r="297" spans="1:6" x14ac:dyDescent="0.2">
      <c r="A297" s="1">
        <v>45986</v>
      </c>
      <c r="B297" s="2" t="s">
        <v>297</v>
      </c>
      <c r="C297" s="3" t="str">
        <f t="shared" si="12"/>
        <v>@posthog</v>
      </c>
      <c r="D297" s="3" t="str">
        <f t="shared" si="13"/>
        <v>intercom-plugin</v>
      </c>
      <c r="E297" s="3" t="str">
        <f t="shared" si="14"/>
        <v>v0.0.8</v>
      </c>
      <c r="F297" t="str">
        <f>IF(COUNTIFS('[1]25 November'!$E:$E,$D297)&gt;0, "NEW FINDING", IF(COUNTIFS('[1]20 September New Socket'!E:E,$D297)&gt;0,"PREVOUS REPORT","N/A"))</f>
        <v>NEW FINDING</v>
      </c>
    </row>
    <row r="298" spans="1:6" x14ac:dyDescent="0.2">
      <c r="A298" s="1">
        <v>45986</v>
      </c>
      <c r="B298" s="2" t="s">
        <v>298</v>
      </c>
      <c r="C298" s="3" t="str">
        <f t="shared" si="12"/>
        <v>@posthog</v>
      </c>
      <c r="D298" s="3" t="str">
        <f t="shared" si="13"/>
        <v>kinesis-plugin</v>
      </c>
      <c r="E298" s="3" t="str">
        <f t="shared" si="14"/>
        <v>v0.0.8</v>
      </c>
      <c r="F298" t="str">
        <f>IF(COUNTIFS('[1]25 November'!$E:$E,$D298)&gt;0, "NEW FINDING", IF(COUNTIFS('[1]20 September New Socket'!E:E,$D298)&gt;0,"PREVOUS REPORT","N/A"))</f>
        <v>NEW FINDING</v>
      </c>
    </row>
    <row r="299" spans="1:6" x14ac:dyDescent="0.2">
      <c r="A299" s="1">
        <v>45986</v>
      </c>
      <c r="B299" s="2" t="s">
        <v>299</v>
      </c>
      <c r="C299" s="3" t="str">
        <f t="shared" si="12"/>
        <v>@posthog</v>
      </c>
      <c r="D299" s="3" t="str">
        <f t="shared" si="13"/>
        <v>laudspeaker-plugin</v>
      </c>
      <c r="E299" s="3" t="str">
        <f t="shared" si="14"/>
        <v>v0.0.8</v>
      </c>
      <c r="F299" t="str">
        <f>IF(COUNTIFS('[1]25 November'!$E:$E,$D299)&gt;0, "NEW FINDING", IF(COUNTIFS('[1]20 September New Socket'!E:E,$D299)&gt;0,"PREVOUS REPORT","N/A"))</f>
        <v>NEW FINDING</v>
      </c>
    </row>
    <row r="300" spans="1:6" x14ac:dyDescent="0.2">
      <c r="A300" s="1">
        <v>45986</v>
      </c>
      <c r="B300" s="2" t="s">
        <v>300</v>
      </c>
      <c r="C300" s="3" t="str">
        <f t="shared" si="12"/>
        <v>@posthog</v>
      </c>
      <c r="D300" s="3" t="str">
        <f t="shared" si="13"/>
        <v>lemon-ui</v>
      </c>
      <c r="E300" s="3" t="str">
        <f t="shared" si="14"/>
        <v>v0.0.1</v>
      </c>
      <c r="F300" t="str">
        <f>IF(COUNTIFS('[1]25 November'!$E:$E,$D300)&gt;0, "NEW FINDING", IF(COUNTIFS('[1]20 September New Socket'!E:E,$D300)&gt;0,"PREVOUS REPORT","N/A"))</f>
        <v>NEW FINDING</v>
      </c>
    </row>
    <row r="301" spans="1:6" x14ac:dyDescent="0.2">
      <c r="A301" s="1">
        <v>45986</v>
      </c>
      <c r="B301" s="2" t="s">
        <v>301</v>
      </c>
      <c r="C301" s="3" t="str">
        <f t="shared" si="12"/>
        <v>@posthog</v>
      </c>
      <c r="D301" s="3" t="str">
        <f t="shared" si="13"/>
        <v>maxmind-plugin</v>
      </c>
      <c r="E301" s="3" t="str">
        <f t="shared" si="14"/>
        <v>v0.1.6</v>
      </c>
      <c r="F301" t="str">
        <f>IF(COUNTIFS('[1]25 November'!$E:$E,$D301)&gt;0, "NEW FINDING", IF(COUNTIFS('[1]20 September New Socket'!E:E,$D301)&gt;0,"PREVOUS REPORT","N/A"))</f>
        <v>NEW FINDING</v>
      </c>
    </row>
    <row r="302" spans="1:6" x14ac:dyDescent="0.2">
      <c r="A302" s="1">
        <v>45986</v>
      </c>
      <c r="B302" s="2" t="s">
        <v>302</v>
      </c>
      <c r="C302" s="3" t="str">
        <f t="shared" si="12"/>
        <v>@posthog</v>
      </c>
      <c r="D302" s="3" t="str">
        <f t="shared" si="13"/>
        <v>migrator3000-plugin</v>
      </c>
      <c r="E302" s="3" t="str">
        <f t="shared" si="14"/>
        <v>v0.0.8</v>
      </c>
      <c r="F302" t="str">
        <f>IF(COUNTIFS('[1]25 November'!$E:$E,$D302)&gt;0, "NEW FINDING", IF(COUNTIFS('[1]20 September New Socket'!E:E,$D302)&gt;0,"PREVOUS REPORT","N/A"))</f>
        <v>NEW FINDING</v>
      </c>
    </row>
    <row r="303" spans="1:6" x14ac:dyDescent="0.2">
      <c r="A303" s="1">
        <v>45986</v>
      </c>
      <c r="B303" s="2" t="s">
        <v>303</v>
      </c>
      <c r="C303" s="3" t="str">
        <f t="shared" si="12"/>
        <v>@posthog</v>
      </c>
      <c r="D303" s="3" t="str">
        <f t="shared" si="13"/>
        <v>netdata-event-processing</v>
      </c>
      <c r="E303" s="3" t="str">
        <f t="shared" si="14"/>
        <v>v0.0.8</v>
      </c>
      <c r="F303" t="str">
        <f>IF(COUNTIFS('[1]25 November'!$E:$E,$D303)&gt;0, "NEW FINDING", IF(COUNTIFS('[1]20 September New Socket'!E:E,$D303)&gt;0,"PREVOUS REPORT","N/A"))</f>
        <v>NEW FINDING</v>
      </c>
    </row>
    <row r="304" spans="1:6" x14ac:dyDescent="0.2">
      <c r="A304" s="1">
        <v>45986</v>
      </c>
      <c r="B304" s="2" t="s">
        <v>304</v>
      </c>
      <c r="C304" s="3" t="str">
        <f t="shared" si="12"/>
        <v>@posthog</v>
      </c>
      <c r="D304" s="3" t="str">
        <f t="shared" si="13"/>
        <v>nextjs</v>
      </c>
      <c r="E304" s="3" t="str">
        <f t="shared" si="14"/>
        <v>v0.0.3</v>
      </c>
      <c r="F304" t="str">
        <f>IF(COUNTIFS('[1]25 November'!$E:$E,$D304)&gt;0, "NEW FINDING", IF(COUNTIFS('[1]20 September New Socket'!E:E,$D304)&gt;0,"PREVOUS REPORT","N/A"))</f>
        <v>NEW FINDING</v>
      </c>
    </row>
    <row r="305" spans="1:6" x14ac:dyDescent="0.2">
      <c r="A305" s="1">
        <v>45986</v>
      </c>
      <c r="B305" s="2" t="s">
        <v>305</v>
      </c>
      <c r="C305" s="3" t="str">
        <f t="shared" si="12"/>
        <v>@posthog</v>
      </c>
      <c r="D305" s="3" t="str">
        <f t="shared" si="13"/>
        <v>nextjs-config</v>
      </c>
      <c r="E305" s="3" t="str">
        <f t="shared" si="14"/>
        <v>v1.5.1</v>
      </c>
      <c r="F305" t="str">
        <f>IF(COUNTIFS('[1]25 November'!$E:$E,$D305)&gt;0, "NEW FINDING", IF(COUNTIFS('[1]20 September New Socket'!E:E,$D305)&gt;0,"PREVOUS REPORT","N/A"))</f>
        <v>NEW FINDING</v>
      </c>
    </row>
    <row r="306" spans="1:6" x14ac:dyDescent="0.2">
      <c r="A306" s="1">
        <v>45986</v>
      </c>
      <c r="B306" s="2" t="s">
        <v>306</v>
      </c>
      <c r="C306" s="3" t="str">
        <f t="shared" si="12"/>
        <v>@posthog</v>
      </c>
      <c r="D306" s="3" t="str">
        <f t="shared" si="13"/>
        <v>nuxt</v>
      </c>
      <c r="E306" s="3" t="str">
        <f t="shared" si="14"/>
        <v>v1.2.9</v>
      </c>
      <c r="F306" t="str">
        <f>IF(COUNTIFS('[1]25 November'!$E:$E,$D306)&gt;0, "NEW FINDING", IF(COUNTIFS('[1]20 September New Socket'!E:E,$D306)&gt;0,"PREVOUS REPORT","N/A"))</f>
        <v>NEW FINDING</v>
      </c>
    </row>
    <row r="307" spans="1:6" x14ac:dyDescent="0.2">
      <c r="A307" s="1">
        <v>45986</v>
      </c>
      <c r="B307" s="2" t="s">
        <v>307</v>
      </c>
      <c r="C307" s="3" t="str">
        <f t="shared" si="12"/>
        <v>@posthog</v>
      </c>
      <c r="D307" s="3" t="str">
        <f t="shared" si="13"/>
        <v>pagerduty-plugin</v>
      </c>
      <c r="E307" s="3" t="str">
        <f t="shared" si="14"/>
        <v>v0.0.8</v>
      </c>
      <c r="F307" t="str">
        <f>IF(COUNTIFS('[1]25 November'!$E:$E,$D307)&gt;0, "NEW FINDING", IF(COUNTIFS('[1]20 September New Socket'!E:E,$D307)&gt;0,"PREVOUS REPORT","N/A"))</f>
        <v>NEW FINDING</v>
      </c>
    </row>
    <row r="308" spans="1:6" x14ac:dyDescent="0.2">
      <c r="A308" s="1">
        <v>45986</v>
      </c>
      <c r="B308" s="2" t="s">
        <v>308</v>
      </c>
      <c r="C308" s="3" t="str">
        <f t="shared" si="12"/>
        <v>@posthog</v>
      </c>
      <c r="D308" s="3" t="str">
        <f t="shared" si="13"/>
        <v>piscina</v>
      </c>
      <c r="E308" s="3" t="str">
        <f t="shared" si="14"/>
        <v>v3.2.1</v>
      </c>
      <c r="F308" t="str">
        <f>IF(COUNTIFS('[1]25 November'!$E:$E,$D308)&gt;0, "NEW FINDING", IF(COUNTIFS('[1]20 September New Socket'!E:E,$D308)&gt;0,"PREVOUS REPORT","N/A"))</f>
        <v>NEW FINDING</v>
      </c>
    </row>
    <row r="309" spans="1:6" x14ac:dyDescent="0.2">
      <c r="A309" s="1">
        <v>45986</v>
      </c>
      <c r="B309" s="2" t="s">
        <v>309</v>
      </c>
      <c r="C309" s="3" t="str">
        <f t="shared" si="12"/>
        <v>@posthog</v>
      </c>
      <c r="D309" s="3" t="str">
        <f t="shared" si="13"/>
        <v>plugin-contrib</v>
      </c>
      <c r="E309" s="3" t="str">
        <f t="shared" si="14"/>
        <v>v0.0.6</v>
      </c>
      <c r="F309" t="str">
        <f>IF(COUNTIFS('[1]25 November'!$E:$E,$D309)&gt;0, "NEW FINDING", IF(COUNTIFS('[1]20 September New Socket'!E:E,$D309)&gt;0,"PREVOUS REPORT","N/A"))</f>
        <v>NEW FINDING</v>
      </c>
    </row>
    <row r="310" spans="1:6" x14ac:dyDescent="0.2">
      <c r="A310" s="1">
        <v>45986</v>
      </c>
      <c r="B310" s="2" t="s">
        <v>310</v>
      </c>
      <c r="C310" s="3" t="str">
        <f t="shared" si="12"/>
        <v>@posthog</v>
      </c>
      <c r="D310" s="3" t="str">
        <f t="shared" si="13"/>
        <v>plugin-server</v>
      </c>
      <c r="E310" s="3" t="str">
        <f t="shared" si="14"/>
        <v>v1.10.8</v>
      </c>
      <c r="F310" t="str">
        <f>IF(COUNTIFS('[1]25 November'!$E:$E,$D310)&gt;0, "NEW FINDING", IF(COUNTIFS('[1]20 September New Socket'!E:E,$D310)&gt;0,"PREVOUS REPORT","N/A"))</f>
        <v>NEW FINDING</v>
      </c>
    </row>
    <row r="311" spans="1:6" x14ac:dyDescent="0.2">
      <c r="A311" s="1">
        <v>45986</v>
      </c>
      <c r="B311" s="2" t="s">
        <v>311</v>
      </c>
      <c r="C311" s="3" t="str">
        <f t="shared" si="12"/>
        <v>@posthog</v>
      </c>
      <c r="D311" s="3" t="str">
        <f t="shared" si="13"/>
        <v>plugin-unduplicates</v>
      </c>
      <c r="E311" s="3" t="str">
        <f t="shared" si="14"/>
        <v>v0.0.8</v>
      </c>
      <c r="F311" t="str">
        <f>IF(COUNTIFS('[1]25 November'!$E:$E,$D311)&gt;0, "NEW FINDING", IF(COUNTIFS('[1]20 September New Socket'!E:E,$D311)&gt;0,"PREVOUS REPORT","N/A"))</f>
        <v>NEW FINDING</v>
      </c>
    </row>
    <row r="312" spans="1:6" x14ac:dyDescent="0.2">
      <c r="A312" s="1">
        <v>45986</v>
      </c>
      <c r="B312" s="2" t="s">
        <v>312</v>
      </c>
      <c r="C312" s="3" t="str">
        <f t="shared" si="12"/>
        <v>@posthog</v>
      </c>
      <c r="D312" s="3" t="str">
        <f t="shared" si="13"/>
        <v>postgres-plugin</v>
      </c>
      <c r="E312" s="3" t="str">
        <f t="shared" si="14"/>
        <v>v0.0.8</v>
      </c>
      <c r="F312" t="str">
        <f>IF(COUNTIFS('[1]25 November'!$E:$E,$D312)&gt;0, "NEW FINDING", IF(COUNTIFS('[1]20 September New Socket'!E:E,$D312)&gt;0,"PREVOUS REPORT","N/A"))</f>
        <v>NEW FINDING</v>
      </c>
    </row>
    <row r="313" spans="1:6" x14ac:dyDescent="0.2">
      <c r="A313" s="1">
        <v>45986</v>
      </c>
      <c r="B313" s="2" t="s">
        <v>313</v>
      </c>
      <c r="C313" s="3" t="str">
        <f t="shared" si="12"/>
        <v>@posthog</v>
      </c>
      <c r="D313" s="3" t="str">
        <f t="shared" si="13"/>
        <v>rrdom</v>
      </c>
      <c r="E313" s="3" t="str">
        <f t="shared" si="14"/>
        <v>v0.0.31</v>
      </c>
      <c r="F313" t="str">
        <f>IF(COUNTIFS('[1]25 November'!$E:$E,$D313)&gt;0, "NEW FINDING", IF(COUNTIFS('[1]20 September New Socket'!E:E,$D313)&gt;0,"PREVOUS REPORT","N/A"))</f>
        <v>NEW FINDING</v>
      </c>
    </row>
    <row r="314" spans="1:6" x14ac:dyDescent="0.2">
      <c r="A314" s="1">
        <v>45986</v>
      </c>
      <c r="B314" s="2" t="s">
        <v>314</v>
      </c>
      <c r="C314" s="3" t="str">
        <f t="shared" si="12"/>
        <v>@posthog</v>
      </c>
      <c r="D314" s="3" t="str">
        <f t="shared" si="13"/>
        <v>rrweb</v>
      </c>
      <c r="E314" s="3" t="str">
        <f t="shared" si="14"/>
        <v>v0.0.31</v>
      </c>
      <c r="F314" t="str">
        <f>IF(COUNTIFS('[1]25 November'!$E:$E,$D314)&gt;0, "NEW FINDING", IF(COUNTIFS('[1]20 September New Socket'!E:E,$D314)&gt;0,"PREVOUS REPORT","N/A"))</f>
        <v>NEW FINDING</v>
      </c>
    </row>
    <row r="315" spans="1:6" x14ac:dyDescent="0.2">
      <c r="A315" s="1">
        <v>45986</v>
      </c>
      <c r="B315" s="2" t="s">
        <v>315</v>
      </c>
      <c r="C315" s="3" t="str">
        <f t="shared" si="12"/>
        <v>@posthog</v>
      </c>
      <c r="D315" s="3" t="str">
        <f t="shared" si="13"/>
        <v>rrweb-player</v>
      </c>
      <c r="E315" s="3" t="str">
        <f t="shared" si="14"/>
        <v>v0.0.31</v>
      </c>
      <c r="F315" t="str">
        <f>IF(COUNTIFS('[1]25 November'!$E:$E,$D315)&gt;0, "NEW FINDING", IF(COUNTIFS('[1]20 September New Socket'!E:E,$D315)&gt;0,"PREVOUS REPORT","N/A"))</f>
        <v>NEW FINDING</v>
      </c>
    </row>
    <row r="316" spans="1:6" x14ac:dyDescent="0.2">
      <c r="A316" s="1">
        <v>45986</v>
      </c>
      <c r="B316" s="2" t="s">
        <v>316</v>
      </c>
      <c r="C316" s="3" t="str">
        <f t="shared" si="12"/>
        <v>@posthog</v>
      </c>
      <c r="D316" s="3" t="str">
        <f t="shared" si="13"/>
        <v>rrweb-record</v>
      </c>
      <c r="E316" s="3" t="str">
        <f t="shared" si="14"/>
        <v>v0.0.31</v>
      </c>
      <c r="F316" t="str">
        <f>IF(COUNTIFS('[1]25 November'!$E:$E,$D316)&gt;0, "NEW FINDING", IF(COUNTIFS('[1]20 September New Socket'!E:E,$D316)&gt;0,"PREVOUS REPORT","N/A"))</f>
        <v>NEW FINDING</v>
      </c>
    </row>
    <row r="317" spans="1:6" x14ac:dyDescent="0.2">
      <c r="A317" s="1">
        <v>45986</v>
      </c>
      <c r="B317" s="2" t="s">
        <v>317</v>
      </c>
      <c r="C317" s="3" t="str">
        <f t="shared" si="12"/>
        <v>@posthog</v>
      </c>
      <c r="D317" s="3" t="str">
        <f t="shared" si="13"/>
        <v>rrweb-replay</v>
      </c>
      <c r="E317" s="3" t="str">
        <f t="shared" si="14"/>
        <v>v0.0.19</v>
      </c>
      <c r="F317" t="str">
        <f>IF(COUNTIFS('[1]25 November'!$E:$E,$D317)&gt;0, "NEW FINDING", IF(COUNTIFS('[1]20 September New Socket'!E:E,$D317)&gt;0,"PREVOUS REPORT","N/A"))</f>
        <v>NEW FINDING</v>
      </c>
    </row>
    <row r="318" spans="1:6" x14ac:dyDescent="0.2">
      <c r="A318" s="1">
        <v>45986</v>
      </c>
      <c r="B318" s="2" t="s">
        <v>318</v>
      </c>
      <c r="C318" s="3" t="str">
        <f t="shared" si="12"/>
        <v>@posthog</v>
      </c>
      <c r="D318" s="3" t="str">
        <f t="shared" si="13"/>
        <v>rrweb-snapshot</v>
      </c>
      <c r="E318" s="3" t="str">
        <f t="shared" si="14"/>
        <v>v0.0.31</v>
      </c>
      <c r="F318" t="str">
        <f>IF(COUNTIFS('[1]25 November'!$E:$E,$D318)&gt;0, "NEW FINDING", IF(COUNTIFS('[1]20 September New Socket'!E:E,$D318)&gt;0,"PREVOUS REPORT","N/A"))</f>
        <v>NEW FINDING</v>
      </c>
    </row>
    <row r="319" spans="1:6" x14ac:dyDescent="0.2">
      <c r="A319" s="1">
        <v>45986</v>
      </c>
      <c r="B319" s="2" t="s">
        <v>319</v>
      </c>
      <c r="C319" s="3" t="str">
        <f t="shared" si="12"/>
        <v>@posthog</v>
      </c>
      <c r="D319" s="3" t="str">
        <f t="shared" si="13"/>
        <v>rrweb-utils</v>
      </c>
      <c r="E319" s="3" t="str">
        <f t="shared" si="14"/>
        <v>v0.0.31</v>
      </c>
      <c r="F319" t="str">
        <f>IF(COUNTIFS('[1]25 November'!$E:$E,$D319)&gt;0, "NEW FINDING", IF(COUNTIFS('[1]20 September New Socket'!E:E,$D319)&gt;0,"PREVOUS REPORT","N/A"))</f>
        <v>NEW FINDING</v>
      </c>
    </row>
    <row r="320" spans="1:6" x14ac:dyDescent="0.2">
      <c r="A320" s="1">
        <v>45986</v>
      </c>
      <c r="B320" s="2" t="s">
        <v>320</v>
      </c>
      <c r="C320" s="3" t="str">
        <f t="shared" si="12"/>
        <v>@posthog</v>
      </c>
      <c r="D320" s="3" t="str">
        <f t="shared" si="13"/>
        <v>sendgrid-plugin</v>
      </c>
      <c r="E320" s="3" t="str">
        <f t="shared" si="14"/>
        <v>v0.0.8</v>
      </c>
      <c r="F320" t="str">
        <f>IF(COUNTIFS('[1]25 November'!$E:$E,$D320)&gt;0, "NEW FINDING", IF(COUNTIFS('[1]20 September New Socket'!E:E,$D320)&gt;0,"PREVOUS REPORT","N/A"))</f>
        <v>NEW FINDING</v>
      </c>
    </row>
    <row r="321" spans="1:6" x14ac:dyDescent="0.2">
      <c r="A321" s="1">
        <v>45986</v>
      </c>
      <c r="B321" s="2" t="s">
        <v>321</v>
      </c>
      <c r="C321" s="3" t="str">
        <f t="shared" ref="C321:C384" si="15">IF(LEFT(B321,1)="@",LEFT(B321,FIND("/",B321)-1),"")</f>
        <v>@posthog</v>
      </c>
      <c r="D321" s="3" t="str">
        <f t="shared" ref="D321:D384" si="16">IF(LEFT(B321,1)="@",
    MID(
        B321,
        FIND("/",B321)+1,
        IFERROR(
            FIND("@",B321,FIND("/",B321)+1) - FIND("/",B321) - 1,
            LEN(B321) - FIND("/",B321)
        )
    ),
    IFERROR(LEFT(B321,FIND("@",B321)-1), B321)
)</f>
        <v>siphash</v>
      </c>
      <c r="E321" s="3" t="str">
        <f t="shared" ref="E321:E384" si="17">RIGHT(B321,LEN(B321)-FIND("@",B321,LEN(B321)-LEN(SUBSTITUTE(B321,"@",""))+1))</f>
        <v>v1.1.2</v>
      </c>
      <c r="F321" t="str">
        <f>IF(COUNTIFS('[1]25 November'!$E:$E,$D321)&gt;0, "NEW FINDING", IF(COUNTIFS('[1]20 September New Socket'!E:E,$D321)&gt;0,"PREVOUS REPORT","N/A"))</f>
        <v>NEW FINDING</v>
      </c>
    </row>
    <row r="322" spans="1:6" x14ac:dyDescent="0.2">
      <c r="A322" s="1">
        <v>45986</v>
      </c>
      <c r="B322" s="2" t="s">
        <v>322</v>
      </c>
      <c r="C322" s="3" t="str">
        <f t="shared" si="15"/>
        <v>@posthog</v>
      </c>
      <c r="D322" s="3" t="str">
        <f t="shared" si="16"/>
        <v>snowflake-export-plugin</v>
      </c>
      <c r="E322" s="3" t="str">
        <f t="shared" si="17"/>
        <v>v0.0.8</v>
      </c>
      <c r="F322" t="str">
        <f>IF(COUNTIFS('[1]25 November'!$E:$E,$D322)&gt;0, "NEW FINDING", IF(COUNTIFS('[1]20 September New Socket'!E:E,$D322)&gt;0,"PREVOUS REPORT","N/A"))</f>
        <v>NEW FINDING</v>
      </c>
    </row>
    <row r="323" spans="1:6" x14ac:dyDescent="0.2">
      <c r="A323" s="1">
        <v>45986</v>
      </c>
      <c r="B323" s="2" t="s">
        <v>323</v>
      </c>
      <c r="C323" s="3" t="str">
        <f t="shared" si="15"/>
        <v>@posthog</v>
      </c>
      <c r="D323" s="3" t="str">
        <f t="shared" si="16"/>
        <v>taxonomy-plugin</v>
      </c>
      <c r="E323" s="3" t="str">
        <f t="shared" si="17"/>
        <v>v0.0.8</v>
      </c>
      <c r="F323" t="str">
        <f>IF(COUNTIFS('[1]25 November'!$E:$E,$D323)&gt;0, "NEW FINDING", IF(COUNTIFS('[1]20 September New Socket'!E:E,$D323)&gt;0,"PREVOUS REPORT","N/A"))</f>
        <v>NEW FINDING</v>
      </c>
    </row>
    <row r="324" spans="1:6" x14ac:dyDescent="0.2">
      <c r="A324" s="1">
        <v>45986</v>
      </c>
      <c r="B324" s="2" t="s">
        <v>324</v>
      </c>
      <c r="C324" s="3" t="str">
        <f t="shared" si="15"/>
        <v>@posthog</v>
      </c>
      <c r="D324" s="3" t="str">
        <f t="shared" si="16"/>
        <v>twilio-plugin</v>
      </c>
      <c r="E324" s="3" t="str">
        <f t="shared" si="17"/>
        <v>v0.0.8</v>
      </c>
      <c r="F324" t="str">
        <f>IF(COUNTIFS('[1]25 November'!$E:$E,$D324)&gt;0, "NEW FINDING", IF(COUNTIFS('[1]20 September New Socket'!E:E,$D324)&gt;0,"PREVOUS REPORT","N/A"))</f>
        <v>NEW FINDING</v>
      </c>
    </row>
    <row r="325" spans="1:6" x14ac:dyDescent="0.2">
      <c r="A325" s="1">
        <v>45986</v>
      </c>
      <c r="B325" s="2" t="s">
        <v>325</v>
      </c>
      <c r="C325" s="3" t="str">
        <f t="shared" si="15"/>
        <v>@posthog</v>
      </c>
      <c r="D325" s="3" t="str">
        <f t="shared" si="16"/>
        <v>twitter-followers-plugin</v>
      </c>
      <c r="E325" s="3" t="str">
        <f t="shared" si="17"/>
        <v>v0.0.8</v>
      </c>
      <c r="F325" t="str">
        <f>IF(COUNTIFS('[1]25 November'!$E:$E,$D325)&gt;0, "NEW FINDING", IF(COUNTIFS('[1]20 September New Socket'!E:E,$D325)&gt;0,"PREVOUS REPORT","N/A"))</f>
        <v>NEW FINDING</v>
      </c>
    </row>
    <row r="326" spans="1:6" x14ac:dyDescent="0.2">
      <c r="A326" s="1">
        <v>45986</v>
      </c>
      <c r="B326" s="2" t="s">
        <v>326</v>
      </c>
      <c r="C326" s="3" t="str">
        <f t="shared" si="15"/>
        <v>@posthog</v>
      </c>
      <c r="D326" s="3" t="str">
        <f t="shared" si="16"/>
        <v>url-normalizer-plugin</v>
      </c>
      <c r="E326" s="3" t="str">
        <f t="shared" si="17"/>
        <v>v0.0.8</v>
      </c>
      <c r="F326" t="str">
        <f>IF(COUNTIFS('[1]25 November'!$E:$E,$D326)&gt;0, "NEW FINDING", IF(COUNTIFS('[1]20 September New Socket'!E:E,$D326)&gt;0,"PREVOUS REPORT","N/A"))</f>
        <v>NEW FINDING</v>
      </c>
    </row>
    <row r="327" spans="1:6" x14ac:dyDescent="0.2">
      <c r="A327" s="1">
        <v>45986</v>
      </c>
      <c r="B327" s="2" t="s">
        <v>327</v>
      </c>
      <c r="C327" s="3" t="str">
        <f t="shared" si="15"/>
        <v>@posthog</v>
      </c>
      <c r="D327" s="3" t="str">
        <f t="shared" si="16"/>
        <v>variance-plugin</v>
      </c>
      <c r="E327" s="3" t="str">
        <f t="shared" si="17"/>
        <v>v0.0.8</v>
      </c>
      <c r="F327" t="str">
        <f>IF(COUNTIFS('[1]25 November'!$E:$E,$D327)&gt;0, "NEW FINDING", IF(COUNTIFS('[1]20 September New Socket'!E:E,$D327)&gt;0,"PREVOUS REPORT","N/A"))</f>
        <v>NEW FINDING</v>
      </c>
    </row>
    <row r="328" spans="1:6" x14ac:dyDescent="0.2">
      <c r="A328" s="1">
        <v>45986</v>
      </c>
      <c r="B328" s="2" t="s">
        <v>328</v>
      </c>
      <c r="C328" s="3" t="str">
        <f t="shared" si="15"/>
        <v>@posthog</v>
      </c>
      <c r="D328" s="3" t="str">
        <f t="shared" si="16"/>
        <v>web-dev-server</v>
      </c>
      <c r="E328" s="3" t="str">
        <f t="shared" si="17"/>
        <v>v1.0.5</v>
      </c>
      <c r="F328" t="str">
        <f>IF(COUNTIFS('[1]25 November'!$E:$E,$D328)&gt;0, "NEW FINDING", IF(COUNTIFS('[1]20 September New Socket'!E:E,$D328)&gt;0,"PREVOUS REPORT","N/A"))</f>
        <v>NEW FINDING</v>
      </c>
    </row>
    <row r="329" spans="1:6" x14ac:dyDescent="0.2">
      <c r="A329" s="1">
        <v>45986</v>
      </c>
      <c r="B329" s="2" t="s">
        <v>329</v>
      </c>
      <c r="C329" s="3" t="str">
        <f t="shared" si="15"/>
        <v>@posthog</v>
      </c>
      <c r="D329" s="3" t="str">
        <f t="shared" si="16"/>
        <v>wizard</v>
      </c>
      <c r="E329" s="3" t="str">
        <f t="shared" si="17"/>
        <v>v1.18.1</v>
      </c>
      <c r="F329" t="str">
        <f>IF(COUNTIFS('[1]25 November'!$E:$E,$D329)&gt;0, "NEW FINDING", IF(COUNTIFS('[1]20 September New Socket'!E:E,$D329)&gt;0,"PREVOUS REPORT","N/A"))</f>
        <v>NEW FINDING</v>
      </c>
    </row>
    <row r="330" spans="1:6" x14ac:dyDescent="0.2">
      <c r="A330" s="1">
        <v>45986</v>
      </c>
      <c r="B330" s="2" t="s">
        <v>330</v>
      </c>
      <c r="C330" s="3" t="str">
        <f t="shared" si="15"/>
        <v>@posthog</v>
      </c>
      <c r="D330" s="3" t="str">
        <f t="shared" si="16"/>
        <v>zendesk-plugin</v>
      </c>
      <c r="E330" s="3" t="str">
        <f t="shared" si="17"/>
        <v>v0.0.8</v>
      </c>
      <c r="F330" t="str">
        <f>IF(COUNTIFS('[1]25 November'!$E:$E,$D330)&gt;0, "NEW FINDING", IF(COUNTIFS('[1]20 September New Socket'!E:E,$D330)&gt;0,"PREVOUS REPORT","N/A"))</f>
        <v>NEW FINDING</v>
      </c>
    </row>
    <row r="331" spans="1:6" x14ac:dyDescent="0.2">
      <c r="B331" s="2" t="s">
        <v>331</v>
      </c>
      <c r="C331" s="3" t="str">
        <f t="shared" si="15"/>
        <v>@pradhumngautam</v>
      </c>
      <c r="D331" s="3" t="str">
        <f t="shared" si="16"/>
        <v>common-app</v>
      </c>
      <c r="E331" s="3" t="str">
        <f t="shared" si="17"/>
        <v>v1.0.2</v>
      </c>
      <c r="F331" t="str">
        <f>IF(COUNTIFS('[1]25 November'!$E:$E,$D331)&gt;0, "NEW FINDING", IF(COUNTIFS('[1]20 September New Socket'!E:E,$D331)&gt;0,"PREVOUS REPORT","N/A"))</f>
        <v>N/A</v>
      </c>
    </row>
    <row r="332" spans="1:6" x14ac:dyDescent="0.2">
      <c r="B332" s="2" t="s">
        <v>332</v>
      </c>
      <c r="C332" s="3" t="str">
        <f t="shared" si="15"/>
        <v>@productdevbook</v>
      </c>
      <c r="D332" s="3" t="str">
        <f t="shared" si="16"/>
        <v>animejs-vue</v>
      </c>
      <c r="E332" s="3" t="str">
        <f t="shared" si="17"/>
        <v>v0.2.1</v>
      </c>
      <c r="F332" t="str">
        <f>IF(COUNTIFS('[1]25 November'!$E:$E,$D332)&gt;0, "NEW FINDING", IF(COUNTIFS('[1]20 September New Socket'!E:E,$D332)&gt;0,"PREVOUS REPORT","N/A"))</f>
        <v>N/A</v>
      </c>
    </row>
    <row r="333" spans="1:6" x14ac:dyDescent="0.2">
      <c r="B333" s="2" t="s">
        <v>333</v>
      </c>
      <c r="C333" s="3" t="str">
        <f t="shared" si="15"/>
        <v>@productdevbook</v>
      </c>
      <c r="D333" s="3" t="str">
        <f t="shared" si="16"/>
        <v>auth</v>
      </c>
      <c r="E333" s="3" t="str">
        <f t="shared" si="17"/>
        <v>v0.2.2</v>
      </c>
      <c r="F333" t="str">
        <f>IF(COUNTIFS('[1]25 November'!$E:$E,$D333)&gt;0, "NEW FINDING", IF(COUNTIFS('[1]20 September New Socket'!E:E,$D333)&gt;0,"PREVOUS REPORT","N/A"))</f>
        <v>N/A</v>
      </c>
    </row>
    <row r="334" spans="1:6" x14ac:dyDescent="0.2">
      <c r="B334" s="2" t="s">
        <v>334</v>
      </c>
      <c r="C334" s="3" t="str">
        <f t="shared" si="15"/>
        <v>@productdevbook</v>
      </c>
      <c r="D334" s="3" t="str">
        <f t="shared" si="16"/>
        <v>chatwoot</v>
      </c>
      <c r="E334" s="3" t="str">
        <f t="shared" si="17"/>
        <v>v2.0.1</v>
      </c>
      <c r="F334" t="str">
        <f>IF(COUNTIFS('[1]25 November'!$E:$E,$D334)&gt;0, "NEW FINDING", IF(COUNTIFS('[1]20 September New Socket'!E:E,$D334)&gt;0,"PREVOUS REPORT","N/A"))</f>
        <v>N/A</v>
      </c>
    </row>
    <row r="335" spans="1:6" x14ac:dyDescent="0.2">
      <c r="B335" s="2" t="s">
        <v>335</v>
      </c>
      <c r="C335" s="3" t="str">
        <f t="shared" si="15"/>
        <v>@productdevbook</v>
      </c>
      <c r="D335" s="3" t="str">
        <f t="shared" si="16"/>
        <v>motion</v>
      </c>
      <c r="E335" s="3" t="str">
        <f t="shared" si="17"/>
        <v>v1.0.4</v>
      </c>
      <c r="F335" t="str">
        <f>IF(COUNTIFS('[1]25 November'!$E:$E,$D335)&gt;0, "NEW FINDING", IF(COUNTIFS('[1]20 September New Socket'!E:E,$D335)&gt;0,"PREVOUS REPORT","N/A"))</f>
        <v>N/A</v>
      </c>
    </row>
    <row r="336" spans="1:6" x14ac:dyDescent="0.2">
      <c r="B336" s="2" t="s">
        <v>336</v>
      </c>
      <c r="C336" s="3" t="str">
        <f t="shared" si="15"/>
        <v>@productdevbook</v>
      </c>
      <c r="D336" s="3" t="str">
        <f t="shared" si="16"/>
        <v>ts-i18n</v>
      </c>
      <c r="E336" s="3" t="str">
        <f t="shared" si="17"/>
        <v>v1.4.2</v>
      </c>
      <c r="F336" t="str">
        <f>IF(COUNTIFS('[1]25 November'!$E:$E,$D336)&gt;0, "NEW FINDING", IF(COUNTIFS('[1]20 September New Socket'!E:E,$D336)&gt;0,"PREVOUS REPORT","N/A"))</f>
        <v>N/A</v>
      </c>
    </row>
    <row r="337" spans="1:6" x14ac:dyDescent="0.2">
      <c r="A337" s="1">
        <v>45986</v>
      </c>
      <c r="B337" s="2" t="s">
        <v>337</v>
      </c>
      <c r="C337" s="3" t="str">
        <f t="shared" si="15"/>
        <v>@pruthvi21</v>
      </c>
      <c r="D337" s="3" t="str">
        <f t="shared" si="16"/>
        <v>use-debounce</v>
      </c>
      <c r="E337" s="3" t="str">
        <f t="shared" si="17"/>
        <v>v1.0.3</v>
      </c>
      <c r="F337" t="str">
        <f>IF(COUNTIFS('[1]25 November'!$E:$E,$D337)&gt;0, "NEW FINDING", IF(COUNTIFS('[1]20 September New Socket'!E:E,$D337)&gt;0,"PREVOUS REPORT","N/A"))</f>
        <v>NEW FINDING</v>
      </c>
    </row>
    <row r="338" spans="1:6" x14ac:dyDescent="0.2">
      <c r="A338" s="1">
        <v>45986</v>
      </c>
      <c r="B338" s="2" t="s">
        <v>338</v>
      </c>
      <c r="C338" s="3" t="str">
        <f t="shared" si="15"/>
        <v>@quick-start-soft</v>
      </c>
      <c r="D338" s="3" t="str">
        <f t="shared" si="16"/>
        <v>quick-document-translator</v>
      </c>
      <c r="E338" s="3" t="str">
        <f t="shared" si="17"/>
        <v>v1.4.2511142126</v>
      </c>
      <c r="F338" t="str">
        <f>IF(COUNTIFS('[1]25 November'!$E:$E,$D338)&gt;0, "NEW FINDING", IF(COUNTIFS('[1]20 September New Socket'!E:E,$D338)&gt;0,"PREVOUS REPORT","N/A"))</f>
        <v>NEW FINDING</v>
      </c>
    </row>
    <row r="339" spans="1:6" x14ac:dyDescent="0.2">
      <c r="A339" s="1">
        <v>45986</v>
      </c>
      <c r="B339" s="2" t="s">
        <v>339</v>
      </c>
      <c r="C339" s="3" t="str">
        <f t="shared" si="15"/>
        <v>@quick-start-soft</v>
      </c>
      <c r="D339" s="3" t="str">
        <f t="shared" si="16"/>
        <v>quick-git-clean-markdown</v>
      </c>
      <c r="E339" s="3" t="str">
        <f t="shared" si="17"/>
        <v>v1.4.2511142126</v>
      </c>
      <c r="F339" t="str">
        <f>IF(COUNTIFS('[1]25 November'!$E:$E,$D339)&gt;0, "NEW FINDING", IF(COUNTIFS('[1]20 September New Socket'!E:E,$D339)&gt;0,"PREVOUS REPORT","N/A"))</f>
        <v>NEW FINDING</v>
      </c>
    </row>
    <row r="340" spans="1:6" x14ac:dyDescent="0.2">
      <c r="A340" s="1">
        <v>45986</v>
      </c>
      <c r="B340" s="2" t="s">
        <v>340</v>
      </c>
      <c r="C340" s="3" t="str">
        <f t="shared" si="15"/>
        <v>@quick-start-soft</v>
      </c>
      <c r="D340" s="3" t="str">
        <f t="shared" si="16"/>
        <v>quick-markdown</v>
      </c>
      <c r="E340" s="3" t="str">
        <f t="shared" si="17"/>
        <v>v1.4.2511142126</v>
      </c>
      <c r="F340" t="str">
        <f>IF(COUNTIFS('[1]25 November'!$E:$E,$D340)&gt;0, "NEW FINDING", IF(COUNTIFS('[1]20 September New Socket'!E:E,$D340)&gt;0,"PREVOUS REPORT","N/A"))</f>
        <v>NEW FINDING</v>
      </c>
    </row>
    <row r="341" spans="1:6" x14ac:dyDescent="0.2">
      <c r="A341" s="1">
        <v>45986</v>
      </c>
      <c r="B341" s="2" t="s">
        <v>341</v>
      </c>
      <c r="C341" s="3" t="str">
        <f t="shared" si="15"/>
        <v>@quick-start-soft</v>
      </c>
      <c r="D341" s="3" t="str">
        <f t="shared" si="16"/>
        <v>quick-markdown-compose</v>
      </c>
      <c r="E341" s="3" t="str">
        <f t="shared" si="17"/>
        <v>v1.4.2506300029</v>
      </c>
      <c r="F341" t="str">
        <f>IF(COUNTIFS('[1]25 November'!$E:$E,$D341)&gt;0, "NEW FINDING", IF(COUNTIFS('[1]20 September New Socket'!E:E,$D341)&gt;0,"PREVOUS REPORT","N/A"))</f>
        <v>NEW FINDING</v>
      </c>
    </row>
    <row r="342" spans="1:6" x14ac:dyDescent="0.2">
      <c r="A342" s="1">
        <v>45986</v>
      </c>
      <c r="B342" s="2" t="s">
        <v>342</v>
      </c>
      <c r="C342" s="3" t="str">
        <f t="shared" si="15"/>
        <v>@quick-start-soft</v>
      </c>
      <c r="D342" s="3" t="str">
        <f t="shared" si="16"/>
        <v>quick-markdown-image</v>
      </c>
      <c r="E342" s="3" t="str">
        <f t="shared" si="17"/>
        <v>v1.4.2511142126</v>
      </c>
      <c r="F342" t="str">
        <f>IF(COUNTIFS('[1]25 November'!$E:$E,$D342)&gt;0, "NEW FINDING", IF(COUNTIFS('[1]20 September New Socket'!E:E,$D342)&gt;0,"PREVOUS REPORT","N/A"))</f>
        <v>NEW FINDING</v>
      </c>
    </row>
    <row r="343" spans="1:6" x14ac:dyDescent="0.2">
      <c r="A343" s="1">
        <v>45986</v>
      </c>
      <c r="B343" s="2" t="s">
        <v>343</v>
      </c>
      <c r="C343" s="3" t="str">
        <f t="shared" si="15"/>
        <v>@quick-start-soft</v>
      </c>
      <c r="D343" s="3" t="str">
        <f t="shared" si="16"/>
        <v>quick-markdown-print</v>
      </c>
      <c r="E343" s="3" t="str">
        <f t="shared" si="17"/>
        <v>v1.4.2511142126</v>
      </c>
      <c r="F343" t="str">
        <f>IF(COUNTIFS('[1]25 November'!$E:$E,$D343)&gt;0, "NEW FINDING", IF(COUNTIFS('[1]20 September New Socket'!E:E,$D343)&gt;0,"PREVOUS REPORT","N/A"))</f>
        <v>NEW FINDING</v>
      </c>
    </row>
    <row r="344" spans="1:6" x14ac:dyDescent="0.2">
      <c r="A344" s="1">
        <v>45986</v>
      </c>
      <c r="B344" s="2" t="s">
        <v>344</v>
      </c>
      <c r="C344" s="3" t="str">
        <f t="shared" si="15"/>
        <v>@quick-start-soft</v>
      </c>
      <c r="D344" s="3" t="str">
        <f t="shared" si="16"/>
        <v>quick-markdown-translator</v>
      </c>
      <c r="E344" s="3" t="str">
        <f t="shared" si="17"/>
        <v>v1.4.2509202331</v>
      </c>
      <c r="F344" t="str">
        <f>IF(COUNTIFS('[1]25 November'!$E:$E,$D344)&gt;0, "NEW FINDING", IF(COUNTIFS('[1]20 September New Socket'!E:E,$D344)&gt;0,"PREVOUS REPORT","N/A"))</f>
        <v>NEW FINDING</v>
      </c>
    </row>
    <row r="345" spans="1:6" x14ac:dyDescent="0.2">
      <c r="A345" s="1">
        <v>45986</v>
      </c>
      <c r="B345" s="2" t="s">
        <v>345</v>
      </c>
      <c r="C345" s="3" t="str">
        <f t="shared" si="15"/>
        <v>@quick-start-soft</v>
      </c>
      <c r="D345" s="3" t="str">
        <f t="shared" si="16"/>
        <v>quick-remove-image-background</v>
      </c>
      <c r="E345" s="3" t="str">
        <f t="shared" si="17"/>
        <v>v1.4.2511142126</v>
      </c>
      <c r="F345" t="str">
        <f>IF(COUNTIFS('[1]25 November'!$E:$E,$D345)&gt;0, "NEW FINDING", IF(COUNTIFS('[1]20 September New Socket'!E:E,$D345)&gt;0,"PREVOUS REPORT","N/A"))</f>
        <v>NEW FINDING</v>
      </c>
    </row>
    <row r="346" spans="1:6" x14ac:dyDescent="0.2">
      <c r="A346" s="1">
        <v>45986</v>
      </c>
      <c r="B346" s="2" t="s">
        <v>346</v>
      </c>
      <c r="C346" s="3" t="str">
        <f t="shared" si="15"/>
        <v>@quick-start-soft</v>
      </c>
      <c r="D346" s="3" t="str">
        <f t="shared" si="16"/>
        <v>quick-task-refine</v>
      </c>
      <c r="E346" s="3" t="str">
        <f t="shared" si="17"/>
        <v>v1.4.2511142126</v>
      </c>
      <c r="F346" t="str">
        <f>IF(COUNTIFS('[1]25 November'!$E:$E,$D346)&gt;0, "NEW FINDING", IF(COUNTIFS('[1]20 September New Socket'!E:E,$D346)&gt;0,"PREVOUS REPORT","N/A"))</f>
        <v>NEW FINDING</v>
      </c>
    </row>
    <row r="347" spans="1:6" x14ac:dyDescent="0.2">
      <c r="B347" s="2" t="s">
        <v>347</v>
      </c>
      <c r="C347" s="3" t="str">
        <f t="shared" si="15"/>
        <v>@relyt</v>
      </c>
      <c r="D347" s="3" t="str">
        <f t="shared" si="16"/>
        <v>claude-context-core</v>
      </c>
      <c r="E347" s="3" t="str">
        <f t="shared" si="17"/>
        <v>v0.1.1</v>
      </c>
      <c r="F347" t="str">
        <f>IF(COUNTIFS('[1]25 November'!$E:$E,$D347)&gt;0, "NEW FINDING", IF(COUNTIFS('[1]20 September New Socket'!E:E,$D347)&gt;0,"PREVOUS REPORT","N/A"))</f>
        <v>N/A</v>
      </c>
    </row>
    <row r="348" spans="1:6" x14ac:dyDescent="0.2">
      <c r="B348" s="2" t="s">
        <v>348</v>
      </c>
      <c r="C348" s="3" t="str">
        <f t="shared" si="15"/>
        <v>@relyt</v>
      </c>
      <c r="D348" s="3" t="str">
        <f t="shared" si="16"/>
        <v>claude-context-mcp</v>
      </c>
      <c r="E348" s="3" t="str">
        <f t="shared" si="17"/>
        <v>v0.1.1</v>
      </c>
      <c r="F348" t="str">
        <f>IF(COUNTIFS('[1]25 November'!$E:$E,$D348)&gt;0, "NEW FINDING", IF(COUNTIFS('[1]20 September New Socket'!E:E,$D348)&gt;0,"PREVOUS REPORT","N/A"))</f>
        <v>N/A</v>
      </c>
    </row>
    <row r="349" spans="1:6" x14ac:dyDescent="0.2">
      <c r="B349" s="2" t="s">
        <v>349</v>
      </c>
      <c r="C349" s="3" t="str">
        <f t="shared" si="15"/>
        <v>@relyt</v>
      </c>
      <c r="D349" s="3" t="str">
        <f t="shared" si="16"/>
        <v>mcp-server-relytone</v>
      </c>
      <c r="E349" s="3" t="str">
        <f t="shared" si="17"/>
        <v>v0.0.3</v>
      </c>
      <c r="F349" t="str">
        <f>IF(COUNTIFS('[1]25 November'!$E:$E,$D349)&gt;0, "NEW FINDING", IF(COUNTIFS('[1]20 September New Socket'!E:E,$D349)&gt;0,"PREVOUS REPORT","N/A"))</f>
        <v>N/A</v>
      </c>
    </row>
    <row r="350" spans="1:6" x14ac:dyDescent="0.2">
      <c r="B350" s="2" t="s">
        <v>350</v>
      </c>
      <c r="C350" s="3" t="str">
        <f t="shared" si="15"/>
        <v>@seezo</v>
      </c>
      <c r="D350" s="3" t="str">
        <f t="shared" si="16"/>
        <v>sdr-mcp-server</v>
      </c>
      <c r="E350" s="3" t="str">
        <f t="shared" si="17"/>
        <v>v0.0.5</v>
      </c>
      <c r="F350" t="str">
        <f>IF(COUNTIFS('[1]25 November'!$E:$E,$D350)&gt;0, "NEW FINDING", IF(COUNTIFS('[1]20 September New Socket'!E:E,$D350)&gt;0,"PREVOUS REPORT","N/A"))</f>
        <v>N/A</v>
      </c>
    </row>
    <row r="351" spans="1:6" x14ac:dyDescent="0.2">
      <c r="A351" s="1">
        <v>45986</v>
      </c>
      <c r="B351" s="2" t="s">
        <v>351</v>
      </c>
      <c r="C351" s="3" t="str">
        <f t="shared" si="15"/>
        <v>@seung-ju</v>
      </c>
      <c r="D351" s="3" t="str">
        <f t="shared" si="16"/>
        <v>next</v>
      </c>
      <c r="E351" s="3" t="str">
        <f t="shared" si="17"/>
        <v>v0.0.2</v>
      </c>
      <c r="F351" t="str">
        <f>IF(COUNTIFS('[1]25 November'!$E:$E,$D351)&gt;0, "NEW FINDING", IF(COUNTIFS('[1]20 September New Socket'!E:E,$D351)&gt;0,"PREVOUS REPORT","N/A"))</f>
        <v>NEW FINDING</v>
      </c>
    </row>
    <row r="352" spans="1:6" x14ac:dyDescent="0.2">
      <c r="A352" s="1">
        <v>45986</v>
      </c>
      <c r="B352" s="2" t="s">
        <v>352</v>
      </c>
      <c r="C352" s="3" t="str">
        <f t="shared" si="15"/>
        <v>@seung-ju</v>
      </c>
      <c r="D352" s="3" t="str">
        <f t="shared" si="16"/>
        <v>openapi-generator</v>
      </c>
      <c r="E352" s="3" t="str">
        <f t="shared" si="17"/>
        <v>v0.0.4</v>
      </c>
      <c r="F352" t="str">
        <f>IF(COUNTIFS('[1]25 November'!$E:$E,$D352)&gt;0, "NEW FINDING", IF(COUNTIFS('[1]20 September New Socket'!E:E,$D352)&gt;0,"PREVOUS REPORT","N/A"))</f>
        <v>NEW FINDING</v>
      </c>
    </row>
    <row r="353" spans="1:6" x14ac:dyDescent="0.2">
      <c r="A353" s="1">
        <v>45986</v>
      </c>
      <c r="B353" s="2" t="s">
        <v>353</v>
      </c>
      <c r="C353" s="3" t="str">
        <f t="shared" si="15"/>
        <v>@seung-ju</v>
      </c>
      <c r="D353" s="3" t="str">
        <f t="shared" si="16"/>
        <v>react-hooks</v>
      </c>
      <c r="E353" s="3" t="str">
        <f t="shared" si="17"/>
        <v>v0.0.2</v>
      </c>
      <c r="F353" t="str">
        <f>IF(COUNTIFS('[1]25 November'!$E:$E,$D353)&gt;0, "NEW FINDING", IF(COUNTIFS('[1]20 September New Socket'!E:E,$D353)&gt;0,"PREVOUS REPORT","N/A"))</f>
        <v>NEW FINDING</v>
      </c>
    </row>
    <row r="354" spans="1:6" x14ac:dyDescent="0.2">
      <c r="A354" s="1">
        <v>45986</v>
      </c>
      <c r="B354" s="2" t="s">
        <v>354</v>
      </c>
      <c r="C354" s="3" t="str">
        <f t="shared" si="15"/>
        <v>@seung-ju</v>
      </c>
      <c r="D354" s="3" t="str">
        <f t="shared" si="16"/>
        <v>react-native-action-sheet</v>
      </c>
      <c r="E354" s="3" t="str">
        <f t="shared" si="17"/>
        <v>v0.2.1</v>
      </c>
      <c r="F354" t="str">
        <f>IF(COUNTIFS('[1]25 November'!$E:$E,$D354)&gt;0, "NEW FINDING", IF(COUNTIFS('[1]20 September New Socket'!E:E,$D354)&gt;0,"PREVOUS REPORT","N/A"))</f>
        <v>NEW FINDING</v>
      </c>
    </row>
    <row r="355" spans="1:6" x14ac:dyDescent="0.2">
      <c r="B355" s="2" t="s">
        <v>355</v>
      </c>
      <c r="C355" s="3" t="str">
        <f t="shared" si="15"/>
        <v>@silgi</v>
      </c>
      <c r="D355" s="3" t="str">
        <f t="shared" si="16"/>
        <v>better-auth</v>
      </c>
      <c r="E355" s="3" t="str">
        <f t="shared" si="17"/>
        <v>v0.8.1</v>
      </c>
      <c r="F355" t="str">
        <f>IF(COUNTIFS('[1]25 November'!$E:$E,$D355)&gt;0, "NEW FINDING", IF(COUNTIFS('[1]20 September New Socket'!E:E,$D355)&gt;0,"PREVOUS REPORT","N/A"))</f>
        <v>N/A</v>
      </c>
    </row>
    <row r="356" spans="1:6" x14ac:dyDescent="0.2">
      <c r="B356" s="2" t="s">
        <v>356</v>
      </c>
      <c r="C356" s="3" t="str">
        <f t="shared" si="15"/>
        <v>@silgi</v>
      </c>
      <c r="D356" s="3" t="str">
        <f t="shared" si="16"/>
        <v>drizzle</v>
      </c>
      <c r="E356" s="3" t="str">
        <f t="shared" si="17"/>
        <v>v0.8.4</v>
      </c>
      <c r="F356" t="str">
        <f>IF(COUNTIFS('[1]25 November'!$E:$E,$D356)&gt;0, "NEW FINDING", IF(COUNTIFS('[1]20 September New Socket'!E:E,$D356)&gt;0,"PREVOUS REPORT","N/A"))</f>
        <v>N/A</v>
      </c>
    </row>
    <row r="357" spans="1:6" x14ac:dyDescent="0.2">
      <c r="B357" s="2" t="s">
        <v>357</v>
      </c>
      <c r="C357" s="3" t="str">
        <f t="shared" si="15"/>
        <v>@silgi</v>
      </c>
      <c r="D357" s="3" t="str">
        <f t="shared" si="16"/>
        <v>ecosystem</v>
      </c>
      <c r="E357" s="3" t="str">
        <f t="shared" si="17"/>
        <v>v0.7.6</v>
      </c>
      <c r="F357" t="str">
        <f>IF(COUNTIFS('[1]25 November'!$E:$E,$D357)&gt;0, "NEW FINDING", IF(COUNTIFS('[1]20 September New Socket'!E:E,$D357)&gt;0,"PREVOUS REPORT","N/A"))</f>
        <v>N/A</v>
      </c>
    </row>
    <row r="358" spans="1:6" x14ac:dyDescent="0.2">
      <c r="A358" s="1" t="s">
        <v>22</v>
      </c>
      <c r="B358" s="2" t="s">
        <v>358</v>
      </c>
      <c r="C358" s="3" t="str">
        <f t="shared" si="15"/>
        <v>@silgi</v>
      </c>
      <c r="D358" s="3" t="str">
        <f t="shared" si="16"/>
        <v>graphql</v>
      </c>
      <c r="E358" s="3" t="str">
        <f t="shared" si="17"/>
        <v>v0.7.15</v>
      </c>
      <c r="F358" t="str">
        <f>IF(COUNTIFS('[1]25 November'!$E:$E,$D358)&gt;0, "NEW FINDING", IF(COUNTIFS('[1]20 September New Socket'!E:E,$D358)&gt;0,"PREVOUS REPORT","N/A"))</f>
        <v>PREVOUS REPORT</v>
      </c>
    </row>
    <row r="359" spans="1:6" x14ac:dyDescent="0.2">
      <c r="B359" s="2" t="s">
        <v>359</v>
      </c>
      <c r="C359" s="3" t="str">
        <f t="shared" si="15"/>
        <v>@silgi</v>
      </c>
      <c r="D359" s="3" t="str">
        <f t="shared" si="16"/>
        <v>module-builder</v>
      </c>
      <c r="E359" s="3" t="str">
        <f t="shared" si="17"/>
        <v>v0.8.8</v>
      </c>
      <c r="F359" t="str">
        <f>IF(COUNTIFS('[1]25 November'!$E:$E,$D359)&gt;0, "NEW FINDING", IF(COUNTIFS('[1]20 September New Socket'!E:E,$D359)&gt;0,"PREVOUS REPORT","N/A"))</f>
        <v>N/A</v>
      </c>
    </row>
    <row r="360" spans="1:6" x14ac:dyDescent="0.2">
      <c r="A360" s="1" t="s">
        <v>22</v>
      </c>
      <c r="B360" s="2" t="s">
        <v>360</v>
      </c>
      <c r="C360" s="3" t="str">
        <f t="shared" si="15"/>
        <v>@silgi</v>
      </c>
      <c r="D360" s="3" t="str">
        <f t="shared" si="16"/>
        <v>openapi</v>
      </c>
      <c r="E360" s="3" t="str">
        <f t="shared" si="17"/>
        <v>v0.7.4</v>
      </c>
      <c r="F360" t="str">
        <f>IF(COUNTIFS('[1]25 November'!$E:$E,$D360)&gt;0, "NEW FINDING", IF(COUNTIFS('[1]20 September New Socket'!E:E,$D360)&gt;0,"PREVOUS REPORT","N/A"))</f>
        <v>PREVOUS REPORT</v>
      </c>
    </row>
    <row r="361" spans="1:6" x14ac:dyDescent="0.2">
      <c r="B361" s="2" t="s">
        <v>361</v>
      </c>
      <c r="C361" s="3" t="str">
        <f t="shared" si="15"/>
        <v>@silgi</v>
      </c>
      <c r="D361" s="3" t="str">
        <f t="shared" si="16"/>
        <v>permission</v>
      </c>
      <c r="E361" s="3" t="str">
        <f t="shared" si="17"/>
        <v>v0.6.8</v>
      </c>
      <c r="F361" t="str">
        <f>IF(COUNTIFS('[1]25 November'!$E:$E,$D361)&gt;0, "NEW FINDING", IF(COUNTIFS('[1]20 September New Socket'!E:E,$D361)&gt;0,"PREVOUS REPORT","N/A"))</f>
        <v>N/A</v>
      </c>
    </row>
    <row r="362" spans="1:6" x14ac:dyDescent="0.2">
      <c r="B362" s="2" t="s">
        <v>362</v>
      </c>
      <c r="C362" s="3" t="str">
        <f t="shared" si="15"/>
        <v>@silgi</v>
      </c>
      <c r="D362" s="3" t="str">
        <f t="shared" si="16"/>
        <v>ratelimit</v>
      </c>
      <c r="E362" s="3" t="str">
        <f t="shared" si="17"/>
        <v>v0.2.1</v>
      </c>
      <c r="F362" t="str">
        <f>IF(COUNTIFS('[1]25 November'!$E:$E,$D362)&gt;0, "NEW FINDING", IF(COUNTIFS('[1]20 September New Socket'!E:E,$D362)&gt;0,"PREVOUS REPORT","N/A"))</f>
        <v>N/A</v>
      </c>
    </row>
    <row r="363" spans="1:6" x14ac:dyDescent="0.2">
      <c r="A363" s="1" t="s">
        <v>22</v>
      </c>
      <c r="B363" s="2" t="s">
        <v>363</v>
      </c>
      <c r="C363" s="3" t="str">
        <f t="shared" si="15"/>
        <v>@silgi</v>
      </c>
      <c r="D363" s="3" t="str">
        <f t="shared" si="16"/>
        <v>scalar</v>
      </c>
      <c r="E363" s="3" t="str">
        <f t="shared" si="17"/>
        <v>v0.6.2</v>
      </c>
      <c r="F363" t="str">
        <f>IF(COUNTIFS('[1]25 November'!$E:$E,$D363)&gt;0, "NEW FINDING", IF(COUNTIFS('[1]20 September New Socket'!E:E,$D363)&gt;0,"PREVOUS REPORT","N/A"))</f>
        <v>PREVOUS REPORT</v>
      </c>
    </row>
    <row r="364" spans="1:6" x14ac:dyDescent="0.2">
      <c r="B364" s="2" t="s">
        <v>364</v>
      </c>
      <c r="C364" s="3" t="str">
        <f t="shared" si="15"/>
        <v>@silgi</v>
      </c>
      <c r="D364" s="3" t="str">
        <f t="shared" si="16"/>
        <v>yoga</v>
      </c>
      <c r="E364" s="3" t="str">
        <f t="shared" si="17"/>
        <v>v0.7.1</v>
      </c>
      <c r="F364" t="str">
        <f>IF(COUNTIFS('[1]25 November'!$E:$E,$D364)&gt;0, "NEW FINDING", IF(COUNTIFS('[1]20 September New Socket'!E:E,$D364)&gt;0,"PREVOUS REPORT","N/A"))</f>
        <v>N/A</v>
      </c>
    </row>
    <row r="365" spans="1:6" x14ac:dyDescent="0.2">
      <c r="B365" s="2" t="s">
        <v>365</v>
      </c>
      <c r="C365" s="3" t="str">
        <f t="shared" si="15"/>
        <v>@sme-ui</v>
      </c>
      <c r="D365" s="3" t="str">
        <f t="shared" si="16"/>
        <v>aoma-vevasound-metadata-lib</v>
      </c>
      <c r="E365" s="3" t="str">
        <f t="shared" si="17"/>
        <v>v0.1.3</v>
      </c>
      <c r="F365" t="str">
        <f>IF(COUNTIFS('[1]25 November'!$E:$E,$D365)&gt;0, "NEW FINDING", IF(COUNTIFS('[1]20 September New Socket'!E:E,$D365)&gt;0,"PREVOUS REPORT","N/A"))</f>
        <v>N/A</v>
      </c>
    </row>
    <row r="366" spans="1:6" x14ac:dyDescent="0.2">
      <c r="A366" s="1">
        <v>45986</v>
      </c>
      <c r="B366" s="2" t="s">
        <v>366</v>
      </c>
      <c r="C366" s="3" t="str">
        <f t="shared" si="15"/>
        <v>@strapbuild</v>
      </c>
      <c r="D366" s="3" t="str">
        <f t="shared" si="16"/>
        <v>react-native-date-time-picker</v>
      </c>
      <c r="E366" s="3" t="str">
        <f t="shared" si="17"/>
        <v>v2.0.4</v>
      </c>
      <c r="F366" t="str">
        <f>IF(COUNTIFS('[1]25 November'!$E:$E,$D366)&gt;0, "NEW FINDING", IF(COUNTIFS('[1]20 September New Socket'!E:E,$D366)&gt;0,"PREVOUS REPORT","N/A"))</f>
        <v>NEW FINDING</v>
      </c>
    </row>
    <row r="367" spans="1:6" x14ac:dyDescent="0.2">
      <c r="A367" s="1">
        <v>45986</v>
      </c>
      <c r="B367" s="2" t="s">
        <v>367</v>
      </c>
      <c r="C367" s="3" t="str">
        <f t="shared" si="15"/>
        <v>@strapbuild</v>
      </c>
      <c r="D367" s="3" t="str">
        <f t="shared" si="16"/>
        <v>react-native-perspective-image-cropper</v>
      </c>
      <c r="E367" s="3" t="str">
        <f t="shared" si="17"/>
        <v>v0.4.15</v>
      </c>
      <c r="F367" t="str">
        <f>IF(COUNTIFS('[1]25 November'!$E:$E,$D367)&gt;0, "NEW FINDING", IF(COUNTIFS('[1]20 September New Socket'!E:E,$D367)&gt;0,"PREVOUS REPORT","N/A"))</f>
        <v>NEW FINDING</v>
      </c>
    </row>
    <row r="368" spans="1:6" x14ac:dyDescent="0.2">
      <c r="A368" s="1">
        <v>45986</v>
      </c>
      <c r="B368" s="2" t="s">
        <v>368</v>
      </c>
      <c r="C368" s="3" t="str">
        <f t="shared" si="15"/>
        <v>@strapbuild</v>
      </c>
      <c r="D368" s="3" t="str">
        <f t="shared" si="16"/>
        <v>react-native-perspective-image-cropper-2</v>
      </c>
      <c r="E368" s="3" t="str">
        <f t="shared" si="17"/>
        <v>v0.4.7</v>
      </c>
      <c r="F368" t="str">
        <f>IF(COUNTIFS('[1]25 November'!$E:$E,$D368)&gt;0, "NEW FINDING", IF(COUNTIFS('[1]20 September New Socket'!E:E,$D368)&gt;0,"PREVOUS REPORT","N/A"))</f>
        <v>NEW FINDING</v>
      </c>
    </row>
    <row r="369" spans="1:6" x14ac:dyDescent="0.2">
      <c r="A369" s="1">
        <v>45986</v>
      </c>
      <c r="B369" s="2" t="s">
        <v>369</v>
      </c>
      <c r="C369" s="3" t="str">
        <f t="shared" si="15"/>
        <v>@strapbuild</v>
      </c>
      <c r="D369" s="3" t="str">
        <f t="shared" si="16"/>
        <v>react-native-perspective-image-cropper-poojan31</v>
      </c>
      <c r="E369" s="3" t="str">
        <f t="shared" si="17"/>
        <v>v0.4.6</v>
      </c>
      <c r="F369" t="str">
        <f>IF(COUNTIFS('[1]25 November'!$E:$E,$D369)&gt;0, "NEW FINDING", IF(COUNTIFS('[1]20 September New Socket'!E:E,$D369)&gt;0,"PREVOUS REPORT","N/A"))</f>
        <v>NEW FINDING</v>
      </c>
    </row>
    <row r="370" spans="1:6" x14ac:dyDescent="0.2">
      <c r="B370" s="2" t="s">
        <v>370</v>
      </c>
      <c r="C370" s="3" t="str">
        <f t="shared" si="15"/>
        <v>@suraj_h</v>
      </c>
      <c r="D370" s="3" t="str">
        <f t="shared" si="16"/>
        <v>medium-common</v>
      </c>
      <c r="E370" s="3" t="str">
        <f t="shared" si="17"/>
        <v>v1.0.5</v>
      </c>
      <c r="F370" t="str">
        <f>IF(COUNTIFS('[1]25 November'!$E:$E,$D370)&gt;0, "NEW FINDING", IF(COUNTIFS('[1]20 September New Socket'!E:E,$D370)&gt;0,"PREVOUS REPORT","N/A"))</f>
        <v>N/A</v>
      </c>
    </row>
    <row r="371" spans="1:6" x14ac:dyDescent="0.2">
      <c r="A371" s="1">
        <v>45986</v>
      </c>
      <c r="B371" s="2" t="s">
        <v>371</v>
      </c>
      <c r="C371" s="3" t="str">
        <f t="shared" si="15"/>
        <v>@thedelta</v>
      </c>
      <c r="D371" s="3" t="str">
        <f t="shared" si="16"/>
        <v>eslint-config</v>
      </c>
      <c r="E371" s="3" t="str">
        <f t="shared" si="17"/>
        <v>v1.0.2</v>
      </c>
      <c r="F371" t="str">
        <f>IF(COUNTIFS('[1]25 November'!$E:$E,$D371)&gt;0, "NEW FINDING", IF(COUNTIFS('[1]20 September New Socket'!E:E,$D371)&gt;0,"PREVOUS REPORT","N/A"))</f>
        <v>NEW FINDING</v>
      </c>
    </row>
    <row r="372" spans="1:6" x14ac:dyDescent="0.2">
      <c r="B372" s="2" t="s">
        <v>372</v>
      </c>
      <c r="C372" s="3" t="str">
        <f t="shared" si="15"/>
        <v>@trackstar</v>
      </c>
      <c r="D372" s="3" t="str">
        <f t="shared" si="16"/>
        <v>angular-trackstar-link</v>
      </c>
      <c r="E372" s="3" t="str">
        <f t="shared" si="17"/>
        <v>v1.0.2</v>
      </c>
      <c r="F372" t="str">
        <f>IF(COUNTIFS('[1]25 November'!$E:$E,$D372)&gt;0, "NEW FINDING", IF(COUNTIFS('[1]20 September New Socket'!E:E,$D372)&gt;0,"PREVOUS REPORT","N/A"))</f>
        <v>N/A</v>
      </c>
    </row>
    <row r="373" spans="1:6" x14ac:dyDescent="0.2">
      <c r="B373" s="2" t="s">
        <v>373</v>
      </c>
      <c r="C373" s="3" t="str">
        <f t="shared" si="15"/>
        <v>@trackstar</v>
      </c>
      <c r="D373" s="3" t="str">
        <f t="shared" si="16"/>
        <v>react-trackstar-link</v>
      </c>
      <c r="E373" s="3" t="str">
        <f t="shared" si="17"/>
        <v>v2.0.21</v>
      </c>
      <c r="F373" t="str">
        <f>IF(COUNTIFS('[1]25 November'!$E:$E,$D373)&gt;0, "NEW FINDING", IF(COUNTIFS('[1]20 September New Socket'!E:E,$D373)&gt;0,"PREVOUS REPORT","N/A"))</f>
        <v>N/A</v>
      </c>
    </row>
    <row r="374" spans="1:6" x14ac:dyDescent="0.2">
      <c r="B374" s="2" t="s">
        <v>374</v>
      </c>
      <c r="C374" s="3" t="str">
        <f t="shared" si="15"/>
        <v>@trackstar</v>
      </c>
      <c r="D374" s="3" t="str">
        <f t="shared" si="16"/>
        <v>react-trackstar-link-upgrade</v>
      </c>
      <c r="E374" s="3" t="str">
        <f t="shared" si="17"/>
        <v>v1.1.10</v>
      </c>
      <c r="F374" t="str">
        <f>IF(COUNTIFS('[1]25 November'!$E:$E,$D374)&gt;0, "NEW FINDING", IF(COUNTIFS('[1]20 September New Socket'!E:E,$D374)&gt;0,"PREVOUS REPORT","N/A"))</f>
        <v>N/A</v>
      </c>
    </row>
    <row r="375" spans="1:6" x14ac:dyDescent="0.2">
      <c r="B375" s="2" t="s">
        <v>375</v>
      </c>
      <c r="C375" s="3" t="str">
        <f t="shared" si="15"/>
        <v>@trackstar</v>
      </c>
      <c r="D375" s="3" t="str">
        <f t="shared" si="16"/>
        <v>test-angular-package</v>
      </c>
      <c r="E375" s="3" t="str">
        <f t="shared" si="17"/>
        <v>v0.0.9</v>
      </c>
      <c r="F375" t="str">
        <f>IF(COUNTIFS('[1]25 November'!$E:$E,$D375)&gt;0, "NEW FINDING", IF(COUNTIFS('[1]20 September New Socket'!E:E,$D375)&gt;0,"PREVOUS REPORT","N/A"))</f>
        <v>N/A</v>
      </c>
    </row>
    <row r="376" spans="1:6" x14ac:dyDescent="0.2">
      <c r="B376" s="2" t="s">
        <v>376</v>
      </c>
      <c r="C376" s="3" t="str">
        <f t="shared" si="15"/>
        <v>@trackstar</v>
      </c>
      <c r="D376" s="3" t="str">
        <f t="shared" si="16"/>
        <v>test-package</v>
      </c>
      <c r="E376" s="3" t="str">
        <f t="shared" si="17"/>
        <v>v1.1.5</v>
      </c>
      <c r="F376" t="str">
        <f>IF(COUNTIFS('[1]25 November'!$E:$E,$D376)&gt;0, "NEW FINDING", IF(COUNTIFS('[1]20 September New Socket'!E:E,$D376)&gt;0,"PREVOUS REPORT","N/A"))</f>
        <v>N/A</v>
      </c>
    </row>
    <row r="377" spans="1:6" x14ac:dyDescent="0.2">
      <c r="A377" s="1">
        <v>45986</v>
      </c>
      <c r="B377" s="2" t="s">
        <v>377</v>
      </c>
      <c r="C377" s="3" t="str">
        <f t="shared" si="15"/>
        <v>@trefox</v>
      </c>
      <c r="D377" s="3" t="str">
        <f t="shared" si="16"/>
        <v>sleekshop-js</v>
      </c>
      <c r="E377" s="3" t="str">
        <f t="shared" si="17"/>
        <v>v0.1.6</v>
      </c>
      <c r="F377" t="str">
        <f>IF(COUNTIFS('[1]25 November'!$E:$E,$D377)&gt;0, "NEW FINDING", IF(COUNTIFS('[1]20 September New Socket'!E:E,$D377)&gt;0,"PREVOUS REPORT","N/A"))</f>
        <v>NEW FINDING</v>
      </c>
    </row>
    <row r="378" spans="1:6" x14ac:dyDescent="0.2">
      <c r="A378" s="1">
        <v>45986</v>
      </c>
      <c r="B378" s="2" t="s">
        <v>378</v>
      </c>
      <c r="C378" s="3" t="str">
        <f t="shared" si="15"/>
        <v>@trigo</v>
      </c>
      <c r="D378" s="3" t="str">
        <f t="shared" si="16"/>
        <v>atrix</v>
      </c>
      <c r="E378" s="3" t="str">
        <f t="shared" si="17"/>
        <v>v7.0.1</v>
      </c>
      <c r="F378" t="str">
        <f>IF(COUNTIFS('[1]25 November'!$E:$E,$D378)&gt;0, "NEW FINDING", IF(COUNTIFS('[1]20 September New Socket'!E:E,$D378)&gt;0,"PREVOUS REPORT","N/A"))</f>
        <v>NEW FINDING</v>
      </c>
    </row>
    <row r="379" spans="1:6" x14ac:dyDescent="0.2">
      <c r="A379" s="1">
        <v>45986</v>
      </c>
      <c r="B379" s="2" t="s">
        <v>379</v>
      </c>
      <c r="C379" s="3" t="str">
        <f t="shared" si="15"/>
        <v>@trigo</v>
      </c>
      <c r="D379" s="3" t="str">
        <f t="shared" si="16"/>
        <v>atrix-acl</v>
      </c>
      <c r="E379" s="3" t="str">
        <f t="shared" si="17"/>
        <v>v4.0.2</v>
      </c>
      <c r="F379" t="str">
        <f>IF(COUNTIFS('[1]25 November'!$E:$E,$D379)&gt;0, "NEW FINDING", IF(COUNTIFS('[1]20 September New Socket'!E:E,$D379)&gt;0,"PREVOUS REPORT","N/A"))</f>
        <v>NEW FINDING</v>
      </c>
    </row>
    <row r="380" spans="1:6" x14ac:dyDescent="0.2">
      <c r="A380" s="1">
        <v>45986</v>
      </c>
      <c r="B380" s="2" t="s">
        <v>380</v>
      </c>
      <c r="C380" s="3" t="str">
        <f t="shared" si="15"/>
        <v>@trigo</v>
      </c>
      <c r="D380" s="3" t="str">
        <f t="shared" si="16"/>
        <v>atrix-elasticsearch</v>
      </c>
      <c r="E380" s="3" t="str">
        <f t="shared" si="17"/>
        <v>v2.0.1</v>
      </c>
      <c r="F380" t="str">
        <f>IF(COUNTIFS('[1]25 November'!$E:$E,$D380)&gt;0, "NEW FINDING", IF(COUNTIFS('[1]20 September New Socket'!E:E,$D380)&gt;0,"PREVOUS REPORT","N/A"))</f>
        <v>NEW FINDING</v>
      </c>
    </row>
    <row r="381" spans="1:6" x14ac:dyDescent="0.2">
      <c r="A381" s="1">
        <v>45986</v>
      </c>
      <c r="B381" s="2" t="s">
        <v>381</v>
      </c>
      <c r="C381" s="3" t="str">
        <f t="shared" si="15"/>
        <v>@trigo</v>
      </c>
      <c r="D381" s="3" t="str">
        <f t="shared" si="16"/>
        <v>atrix-mongoose</v>
      </c>
      <c r="E381" s="3" t="str">
        <f t="shared" si="17"/>
        <v>v1.0.2</v>
      </c>
      <c r="F381" t="str">
        <f>IF(COUNTIFS('[1]25 November'!$E:$E,$D381)&gt;0, "NEW FINDING", IF(COUNTIFS('[1]20 September New Socket'!E:E,$D381)&gt;0,"PREVOUS REPORT","N/A"))</f>
        <v>NEW FINDING</v>
      </c>
    </row>
    <row r="382" spans="1:6" x14ac:dyDescent="0.2">
      <c r="A382" s="1">
        <v>45986</v>
      </c>
      <c r="B382" s="2" t="s">
        <v>382</v>
      </c>
      <c r="C382" s="3" t="str">
        <f t="shared" si="15"/>
        <v>@trigo</v>
      </c>
      <c r="D382" s="3" t="str">
        <f t="shared" si="16"/>
        <v>atrix-orientdb</v>
      </c>
      <c r="E382" s="3" t="str">
        <f t="shared" si="17"/>
        <v>v1.0.2</v>
      </c>
      <c r="F382" t="str">
        <f>IF(COUNTIFS('[1]25 November'!$E:$E,$D382)&gt;0, "NEW FINDING", IF(COUNTIFS('[1]20 September New Socket'!E:E,$D382)&gt;0,"PREVOUS REPORT","N/A"))</f>
        <v>NEW FINDING</v>
      </c>
    </row>
    <row r="383" spans="1:6" x14ac:dyDescent="0.2">
      <c r="A383" s="1">
        <v>45986</v>
      </c>
      <c r="B383" s="2" t="s">
        <v>383</v>
      </c>
      <c r="C383" s="3" t="str">
        <f t="shared" si="15"/>
        <v>@trigo</v>
      </c>
      <c r="D383" s="3" t="str">
        <f t="shared" si="16"/>
        <v>atrix-postgres</v>
      </c>
      <c r="E383" s="3" t="str">
        <f t="shared" si="17"/>
        <v>v1.0.3</v>
      </c>
      <c r="F383" t="str">
        <f>IF(COUNTIFS('[1]25 November'!$E:$E,$D383)&gt;0, "NEW FINDING", IF(COUNTIFS('[1]20 September New Socket'!E:E,$D383)&gt;0,"PREVOUS REPORT","N/A"))</f>
        <v>NEW FINDING</v>
      </c>
    </row>
    <row r="384" spans="1:6" x14ac:dyDescent="0.2">
      <c r="A384" s="1">
        <v>45986</v>
      </c>
      <c r="B384" s="2" t="s">
        <v>384</v>
      </c>
      <c r="C384" s="3" t="str">
        <f t="shared" si="15"/>
        <v>@trigo</v>
      </c>
      <c r="D384" s="3" t="str">
        <f t="shared" si="16"/>
        <v>atrix-pubsub</v>
      </c>
      <c r="E384" s="3" t="str">
        <f t="shared" si="17"/>
        <v>v4.0.3</v>
      </c>
      <c r="F384" t="str">
        <f>IF(COUNTIFS('[1]25 November'!$E:$E,$D384)&gt;0, "NEW FINDING", IF(COUNTIFS('[1]20 September New Socket'!E:E,$D384)&gt;0,"PREVOUS REPORT","N/A"))</f>
        <v>NEW FINDING</v>
      </c>
    </row>
    <row r="385" spans="1:6" x14ac:dyDescent="0.2">
      <c r="A385" s="1">
        <v>45986</v>
      </c>
      <c r="B385" s="2" t="s">
        <v>385</v>
      </c>
      <c r="C385" s="3" t="str">
        <f t="shared" ref="C385:C448" si="18">IF(LEFT(B385,1)="@",LEFT(B385,FIND("/",B385)-1),"")</f>
        <v>@trigo</v>
      </c>
      <c r="D385" s="3" t="str">
        <f t="shared" ref="D385:D448" si="19">IF(LEFT(B385,1)="@",
    MID(
        B385,
        FIND("/",B385)+1,
        IFERROR(
            FIND("@",B385,FIND("/",B385)+1) - FIND("/",B385) - 1,
            LEN(B385) - FIND("/",B385)
        )
    ),
    IFERROR(LEFT(B385,FIND("@",B385)-1), B385)
)</f>
        <v>atrix-redis</v>
      </c>
      <c r="E385" s="3" t="str">
        <f t="shared" ref="E385:E448" si="20">RIGHT(B385,LEN(B385)-FIND("@",B385,LEN(B385)-LEN(SUBSTITUTE(B385,"@",""))+1))</f>
        <v>v1.0.2</v>
      </c>
      <c r="F385" t="str">
        <f>IF(COUNTIFS('[1]25 November'!$E:$E,$D385)&gt;0, "NEW FINDING", IF(COUNTIFS('[1]20 September New Socket'!E:E,$D385)&gt;0,"PREVOUS REPORT","N/A"))</f>
        <v>NEW FINDING</v>
      </c>
    </row>
    <row r="386" spans="1:6" x14ac:dyDescent="0.2">
      <c r="A386" s="1">
        <v>45986</v>
      </c>
      <c r="B386" s="2" t="s">
        <v>386</v>
      </c>
      <c r="C386" s="3" t="str">
        <f t="shared" si="18"/>
        <v>@trigo</v>
      </c>
      <c r="D386" s="3" t="str">
        <f t="shared" si="19"/>
        <v>atrix-soap</v>
      </c>
      <c r="E386" s="3" t="str">
        <f t="shared" si="20"/>
        <v>v1.0.2</v>
      </c>
      <c r="F386" t="str">
        <f>IF(COUNTIFS('[1]25 November'!$E:$E,$D386)&gt;0, "NEW FINDING", IF(COUNTIFS('[1]20 September New Socket'!E:E,$D386)&gt;0,"PREVOUS REPORT","N/A"))</f>
        <v>NEW FINDING</v>
      </c>
    </row>
    <row r="387" spans="1:6" x14ac:dyDescent="0.2">
      <c r="A387" s="1">
        <v>45986</v>
      </c>
      <c r="B387" s="2" t="s">
        <v>387</v>
      </c>
      <c r="C387" s="3" t="str">
        <f t="shared" si="18"/>
        <v>@trigo</v>
      </c>
      <c r="D387" s="3" t="str">
        <f t="shared" si="19"/>
        <v>atrix-swagger</v>
      </c>
      <c r="E387" s="3" t="str">
        <f t="shared" si="20"/>
        <v>v3.0.1</v>
      </c>
      <c r="F387" t="str">
        <f>IF(COUNTIFS('[1]25 November'!$E:$E,$D387)&gt;0, "NEW FINDING", IF(COUNTIFS('[1]20 September New Socket'!E:E,$D387)&gt;0,"PREVOUS REPORT","N/A"))</f>
        <v>NEW FINDING</v>
      </c>
    </row>
    <row r="388" spans="1:6" x14ac:dyDescent="0.2">
      <c r="A388" s="1">
        <v>45986</v>
      </c>
      <c r="B388" s="2" t="s">
        <v>388</v>
      </c>
      <c r="C388" s="3" t="str">
        <f t="shared" si="18"/>
        <v>@trigo</v>
      </c>
      <c r="D388" s="3" t="str">
        <f t="shared" si="19"/>
        <v>bool-expressions</v>
      </c>
      <c r="E388" s="3" t="str">
        <f t="shared" si="20"/>
        <v>v4.1.3</v>
      </c>
      <c r="F388" t="str">
        <f>IF(COUNTIFS('[1]25 November'!$E:$E,$D388)&gt;0, "NEW FINDING", IF(COUNTIFS('[1]20 September New Socket'!E:E,$D388)&gt;0,"PREVOUS REPORT","N/A"))</f>
        <v>NEW FINDING</v>
      </c>
    </row>
    <row r="389" spans="1:6" x14ac:dyDescent="0.2">
      <c r="A389" s="1">
        <v>45986</v>
      </c>
      <c r="B389" s="2" t="s">
        <v>389</v>
      </c>
      <c r="C389" s="3" t="str">
        <f t="shared" si="18"/>
        <v>@trigo</v>
      </c>
      <c r="D389" s="3" t="str">
        <f t="shared" si="19"/>
        <v>eslint-config-trigo</v>
      </c>
      <c r="E389" s="3" t="str">
        <f t="shared" si="20"/>
        <v>v3.3.1</v>
      </c>
      <c r="F389" t="str">
        <f>IF(COUNTIFS('[1]25 November'!$E:$E,$D389)&gt;0, "NEW FINDING", IF(COUNTIFS('[1]20 September New Socket'!E:E,$D389)&gt;0,"PREVOUS REPORT","N/A"))</f>
        <v>NEW FINDING</v>
      </c>
    </row>
    <row r="390" spans="1:6" x14ac:dyDescent="0.2">
      <c r="A390" s="1">
        <v>45986</v>
      </c>
      <c r="B390" s="2" t="s">
        <v>390</v>
      </c>
      <c r="C390" s="3" t="str">
        <f t="shared" si="18"/>
        <v>@trigo</v>
      </c>
      <c r="D390" s="3" t="str">
        <f t="shared" si="19"/>
        <v>fsm</v>
      </c>
      <c r="E390" s="3" t="str">
        <f t="shared" si="20"/>
        <v>v3.4.2</v>
      </c>
      <c r="F390" t="str">
        <f>IF(COUNTIFS('[1]25 November'!$E:$E,$D390)&gt;0, "NEW FINDING", IF(COUNTIFS('[1]20 September New Socket'!E:E,$D390)&gt;0,"PREVOUS REPORT","N/A"))</f>
        <v>NEW FINDING</v>
      </c>
    </row>
    <row r="391" spans="1:6" x14ac:dyDescent="0.2">
      <c r="A391" s="1">
        <v>45986</v>
      </c>
      <c r="B391" s="2" t="s">
        <v>391</v>
      </c>
      <c r="C391" s="3" t="str">
        <f t="shared" si="18"/>
        <v>@trigo</v>
      </c>
      <c r="D391" s="3" t="str">
        <f t="shared" si="19"/>
        <v>hapi-auth-signedlink</v>
      </c>
      <c r="E391" s="3" t="str">
        <f t="shared" si="20"/>
        <v>v1.3.1</v>
      </c>
      <c r="F391" t="str">
        <f>IF(COUNTIFS('[1]25 November'!$E:$E,$D391)&gt;0, "NEW FINDING", IF(COUNTIFS('[1]20 September New Socket'!E:E,$D391)&gt;0,"PREVOUS REPORT","N/A"))</f>
        <v>NEW FINDING</v>
      </c>
    </row>
    <row r="392" spans="1:6" x14ac:dyDescent="0.2">
      <c r="A392" s="1">
        <v>45986</v>
      </c>
      <c r="B392" s="2" t="s">
        <v>392</v>
      </c>
      <c r="C392" s="3" t="str">
        <f t="shared" si="18"/>
        <v>@trigo</v>
      </c>
      <c r="D392" s="3" t="str">
        <f t="shared" si="19"/>
        <v>jsdt</v>
      </c>
      <c r="E392" s="3" t="str">
        <f t="shared" si="20"/>
        <v>v0.2.1</v>
      </c>
      <c r="F392" t="str">
        <f>IF(COUNTIFS('[1]25 November'!$E:$E,$D392)&gt;0, "NEW FINDING", IF(COUNTIFS('[1]20 September New Socket'!E:E,$D392)&gt;0,"PREVOUS REPORT","N/A"))</f>
        <v>NEW FINDING</v>
      </c>
    </row>
    <row r="393" spans="1:6" x14ac:dyDescent="0.2">
      <c r="A393" s="1">
        <v>45986</v>
      </c>
      <c r="B393" s="2" t="s">
        <v>393</v>
      </c>
      <c r="C393" s="3" t="str">
        <f t="shared" si="18"/>
        <v>@trigo</v>
      </c>
      <c r="D393" s="3" t="str">
        <f t="shared" si="19"/>
        <v>keycloak-api</v>
      </c>
      <c r="E393" s="3" t="str">
        <f t="shared" si="20"/>
        <v>v1.3.1</v>
      </c>
      <c r="F393" t="str">
        <f>IF(COUNTIFS('[1]25 November'!$E:$E,$D393)&gt;0, "NEW FINDING", IF(COUNTIFS('[1]20 September New Socket'!E:E,$D393)&gt;0,"PREVOUS REPORT","N/A"))</f>
        <v>NEW FINDING</v>
      </c>
    </row>
    <row r="394" spans="1:6" x14ac:dyDescent="0.2">
      <c r="A394" s="1">
        <v>45986</v>
      </c>
      <c r="B394" s="2" t="s">
        <v>394</v>
      </c>
      <c r="C394" s="3" t="str">
        <f t="shared" si="18"/>
        <v>@trigo</v>
      </c>
      <c r="D394" s="3" t="str">
        <f t="shared" si="19"/>
        <v>node-soap</v>
      </c>
      <c r="E394" s="3" t="str">
        <f t="shared" si="20"/>
        <v>v0.5.4</v>
      </c>
      <c r="F394" t="str">
        <f>IF(COUNTIFS('[1]25 November'!$E:$E,$D394)&gt;0, "NEW FINDING", IF(COUNTIFS('[1]20 September New Socket'!E:E,$D394)&gt;0,"PREVOUS REPORT","N/A"))</f>
        <v>NEW FINDING</v>
      </c>
    </row>
    <row r="395" spans="1:6" x14ac:dyDescent="0.2">
      <c r="A395" s="1">
        <v>45986</v>
      </c>
      <c r="B395" s="2" t="s">
        <v>395</v>
      </c>
      <c r="C395" s="3" t="str">
        <f t="shared" si="18"/>
        <v>@trigo</v>
      </c>
      <c r="D395" s="3" t="str">
        <f t="shared" si="19"/>
        <v>pathfinder-ui-css</v>
      </c>
      <c r="E395" s="3" t="str">
        <f t="shared" si="20"/>
        <v>v0.1.1</v>
      </c>
      <c r="F395" t="str">
        <f>IF(COUNTIFS('[1]25 November'!$E:$E,$D395)&gt;0, "NEW FINDING", IF(COUNTIFS('[1]20 September New Socket'!E:E,$D395)&gt;0,"PREVOUS REPORT","N/A"))</f>
        <v>NEW FINDING</v>
      </c>
    </row>
    <row r="396" spans="1:6" x14ac:dyDescent="0.2">
      <c r="A396" s="1">
        <v>45986</v>
      </c>
      <c r="B396" s="2" t="s">
        <v>396</v>
      </c>
      <c r="C396" s="3" t="str">
        <f t="shared" si="18"/>
        <v>@trigo</v>
      </c>
      <c r="D396" s="3" t="str">
        <f t="shared" si="19"/>
        <v>trigo-hapijs</v>
      </c>
      <c r="E396" s="3" t="str">
        <f t="shared" si="20"/>
        <v>v5.0.1</v>
      </c>
      <c r="F396" t="str">
        <f>IF(COUNTIFS('[1]25 November'!$E:$E,$D396)&gt;0, "NEW FINDING", IF(COUNTIFS('[1]20 September New Socket'!E:E,$D396)&gt;0,"PREVOUS REPORT","N/A"))</f>
        <v>NEW FINDING</v>
      </c>
    </row>
    <row r="397" spans="1:6" x14ac:dyDescent="0.2">
      <c r="B397" s="2" t="s">
        <v>397</v>
      </c>
      <c r="C397" s="3" t="str">
        <f t="shared" si="18"/>
        <v>@trpc-rate-limiter</v>
      </c>
      <c r="D397" s="3" t="str">
        <f t="shared" si="19"/>
        <v>cloudflare</v>
      </c>
      <c r="E397" s="3" t="str">
        <f t="shared" si="20"/>
        <v>v0.1.4</v>
      </c>
      <c r="F397" t="str">
        <f>IF(COUNTIFS('[1]25 November'!$E:$E,$D397)&gt;0, "NEW FINDING", IF(COUNTIFS('[1]20 September New Socket'!E:E,$D397)&gt;0,"PREVOUS REPORT","N/A"))</f>
        <v>N/A</v>
      </c>
    </row>
    <row r="398" spans="1:6" x14ac:dyDescent="0.2">
      <c r="B398" s="2" t="s">
        <v>398</v>
      </c>
      <c r="C398" s="3" t="str">
        <f t="shared" si="18"/>
        <v>@trpc-rate-limiter</v>
      </c>
      <c r="D398" s="3" t="str">
        <f t="shared" si="19"/>
        <v>hono</v>
      </c>
      <c r="E398" s="3" t="str">
        <f t="shared" si="20"/>
        <v>v0.1.4</v>
      </c>
      <c r="F398" t="str">
        <f>IF(COUNTIFS('[1]25 November'!$E:$E,$D398)&gt;0, "NEW FINDING", IF(COUNTIFS('[1]20 September New Socket'!E:E,$D398)&gt;0,"PREVOUS REPORT","N/A"))</f>
        <v>N/A</v>
      </c>
    </row>
    <row r="399" spans="1:6" x14ac:dyDescent="0.2">
      <c r="A399" s="1">
        <v>45986</v>
      </c>
      <c r="B399" s="2" t="s">
        <v>399</v>
      </c>
      <c r="C399" s="3" t="str">
        <f t="shared" si="18"/>
        <v>@varsityvibe</v>
      </c>
      <c r="D399" s="3" t="str">
        <f t="shared" si="19"/>
        <v>api-client</v>
      </c>
      <c r="E399" s="3" t="str">
        <f t="shared" si="20"/>
        <v>v1.3.37</v>
      </c>
      <c r="F399" t="str">
        <f>IF(COUNTIFS('[1]25 November'!$E:$E,$D399)&gt;0, "NEW FINDING", IF(COUNTIFS('[1]20 September New Socket'!E:E,$D399)&gt;0,"PREVOUS REPORT","N/A"))</f>
        <v>NEW FINDING</v>
      </c>
    </row>
    <row r="400" spans="1:6" x14ac:dyDescent="0.2">
      <c r="A400" s="1" t="s">
        <v>22</v>
      </c>
      <c r="B400" s="2" t="s">
        <v>400</v>
      </c>
      <c r="C400" s="3" t="str">
        <f t="shared" si="18"/>
        <v>@varsityvibe</v>
      </c>
      <c r="D400" s="3" t="str">
        <f t="shared" si="19"/>
        <v>utils</v>
      </c>
      <c r="E400" s="3" t="str">
        <f t="shared" si="20"/>
        <v>v5.0.6</v>
      </c>
      <c r="F400" t="str">
        <f>IF(COUNTIFS('[1]25 November'!$E:$E,$D400)&gt;0, "NEW FINDING", IF(COUNTIFS('[1]20 September New Socket'!E:E,$D400)&gt;0,"PREVOUS REPORT","N/A"))</f>
        <v>PREVOUS REPORT</v>
      </c>
    </row>
    <row r="401" spans="1:6" x14ac:dyDescent="0.2">
      <c r="A401" s="1">
        <v>45986</v>
      </c>
      <c r="B401" s="2" t="s">
        <v>401</v>
      </c>
      <c r="C401" s="3" t="str">
        <f t="shared" si="18"/>
        <v>@viapip</v>
      </c>
      <c r="D401" s="3" t="str">
        <f t="shared" si="19"/>
        <v>eslint-config</v>
      </c>
      <c r="E401" s="3" t="str">
        <f t="shared" si="20"/>
        <v>v0.2.4</v>
      </c>
      <c r="F401" t="str">
        <f>IF(COUNTIFS('[1]25 November'!$E:$E,$D401)&gt;0, "NEW FINDING", IF(COUNTIFS('[1]20 September New Socket'!E:E,$D401)&gt;0,"PREVOUS REPORT","N/A"))</f>
        <v>NEW FINDING</v>
      </c>
    </row>
    <row r="402" spans="1:6" x14ac:dyDescent="0.2">
      <c r="B402" s="2" t="s">
        <v>402</v>
      </c>
      <c r="C402" s="3" t="str">
        <f t="shared" si="18"/>
        <v>@vishadtyagi</v>
      </c>
      <c r="D402" s="3" t="str">
        <f t="shared" si="19"/>
        <v>full-year-calendar</v>
      </c>
      <c r="E402" s="3" t="str">
        <f t="shared" si="20"/>
        <v>v0.1.11</v>
      </c>
      <c r="F402" t="str">
        <f>IF(COUNTIFS('[1]25 November'!$E:$E,$D402)&gt;0, "NEW FINDING", IF(COUNTIFS('[1]20 September New Socket'!E:E,$D402)&gt;0,"PREVOUS REPORT","N/A"))</f>
        <v>N/A</v>
      </c>
    </row>
    <row r="403" spans="1:6" x14ac:dyDescent="0.2">
      <c r="B403" s="2" t="s">
        <v>403</v>
      </c>
      <c r="C403" s="3" t="str">
        <f t="shared" si="18"/>
        <v>@vucod</v>
      </c>
      <c r="D403" s="3" t="str">
        <f t="shared" si="19"/>
        <v>email</v>
      </c>
      <c r="E403" s="3" t="str">
        <f t="shared" si="20"/>
        <v>v0.0.3</v>
      </c>
      <c r="F403" t="str">
        <f>IF(COUNTIFS('[1]25 November'!$E:$E,$D403)&gt;0, "NEW FINDING", IF(COUNTIFS('[1]20 September New Socket'!E:E,$D403)&gt;0,"PREVOUS REPORT","N/A"))</f>
        <v>N/A</v>
      </c>
    </row>
    <row r="404" spans="1:6" x14ac:dyDescent="0.2">
      <c r="B404" s="2" t="s">
        <v>404</v>
      </c>
      <c r="C404" s="3" t="str">
        <f t="shared" si="18"/>
        <v/>
      </c>
      <c r="D404" s="3" t="str">
        <f t="shared" si="19"/>
        <v>02-echo</v>
      </c>
      <c r="E404" s="3" t="str">
        <f t="shared" si="20"/>
        <v>v0.0.7</v>
      </c>
      <c r="F404" t="str">
        <f>IF(COUNTIFS('[1]25 November'!$E:$E,$D404)&gt;0, "NEW FINDING", IF(COUNTIFS('[1]20 September New Socket'!E:E,$D404)&gt;0,"PREVOUS REPORT","N/A"))</f>
        <v>N/A</v>
      </c>
    </row>
    <row r="405" spans="1:6" x14ac:dyDescent="0.2">
      <c r="B405" s="2" t="s">
        <v>405</v>
      </c>
      <c r="C405" s="3" t="str">
        <f t="shared" si="18"/>
        <v/>
      </c>
      <c r="D405" s="3" t="str">
        <f t="shared" si="19"/>
        <v>ai-crowl-shield</v>
      </c>
      <c r="E405" s="3" t="str">
        <f t="shared" si="20"/>
        <v>v1.0.7</v>
      </c>
      <c r="F405" t="str">
        <f>IF(COUNTIFS('[1]25 November'!$E:$E,$D405)&gt;0, "NEW FINDING", IF(COUNTIFS('[1]20 September New Socket'!E:E,$D405)&gt;0,"PREVOUS REPORT","N/A"))</f>
        <v>N/A</v>
      </c>
    </row>
    <row r="406" spans="1:6" x14ac:dyDescent="0.2">
      <c r="A406" s="1">
        <v>45986</v>
      </c>
      <c r="B406" s="2" t="s">
        <v>406</v>
      </c>
      <c r="C406" s="3" t="str">
        <f t="shared" si="18"/>
        <v/>
      </c>
      <c r="D406" s="3" t="str">
        <f t="shared" si="19"/>
        <v>arc-cli-fc</v>
      </c>
      <c r="E406" s="3" t="str">
        <f t="shared" si="20"/>
        <v>v1.0.1</v>
      </c>
      <c r="F406" t="str">
        <f>IF(COUNTIFS('[1]25 November'!$E:$E,$D406)&gt;0, "NEW FINDING", IF(COUNTIFS('[1]20 September New Socket'!E:E,$D406)&gt;0,"PREVOUS REPORT","N/A"))</f>
        <v>NEW FINDING</v>
      </c>
    </row>
    <row r="407" spans="1:6" x14ac:dyDescent="0.2">
      <c r="B407" s="2" t="s">
        <v>407</v>
      </c>
      <c r="C407" s="3" t="str">
        <f t="shared" si="18"/>
        <v/>
      </c>
      <c r="D407" s="3" t="str">
        <f t="shared" si="19"/>
        <v>asciitranslator</v>
      </c>
      <c r="E407" s="3" t="str">
        <f t="shared" si="20"/>
        <v>v1.0.3</v>
      </c>
      <c r="F407" t="str">
        <f>IF(COUNTIFS('[1]25 November'!$E:$E,$D407)&gt;0, "NEW FINDING", IF(COUNTIFS('[1]20 September New Socket'!E:E,$D407)&gt;0,"PREVOUS REPORT","N/A"))</f>
        <v>N/A</v>
      </c>
    </row>
    <row r="408" spans="1:6" x14ac:dyDescent="0.2">
      <c r="A408" s="1">
        <v>45986</v>
      </c>
      <c r="B408" s="2" t="s">
        <v>408</v>
      </c>
      <c r="C408" s="3" t="str">
        <f t="shared" si="18"/>
        <v/>
      </c>
      <c r="D408" s="3" t="str">
        <f t="shared" si="19"/>
        <v>asyncapi-preview</v>
      </c>
      <c r="E408" s="3" t="str">
        <f t="shared" si="20"/>
        <v>v1.0.1</v>
      </c>
      <c r="F408" t="str">
        <f>IF(COUNTIFS('[1]25 November'!$E:$E,$D408)&gt;0, "NEW FINDING", IF(COUNTIFS('[1]20 September New Socket'!E:E,$D408)&gt;0,"PREVOUS REPORT","N/A"))</f>
        <v>NEW FINDING</v>
      </c>
    </row>
    <row r="409" spans="1:6" x14ac:dyDescent="0.2">
      <c r="A409" s="1">
        <v>45986</v>
      </c>
      <c r="B409" s="2" t="s">
        <v>409</v>
      </c>
      <c r="C409" s="3" t="str">
        <f t="shared" si="18"/>
        <v/>
      </c>
      <c r="D409" s="3" t="str">
        <f t="shared" si="19"/>
        <v>asyncapi-preview</v>
      </c>
      <c r="E409" s="3" t="str">
        <f t="shared" si="20"/>
        <v>v1.0.2</v>
      </c>
      <c r="F409" t="str">
        <f>IF(COUNTIFS('[1]25 November'!$E:$E,$D409)&gt;0, "NEW FINDING", IF(COUNTIFS('[1]20 September New Socket'!E:E,$D409)&gt;0,"PREVOUS REPORT","N/A"))</f>
        <v>NEW FINDING</v>
      </c>
    </row>
    <row r="410" spans="1:6" x14ac:dyDescent="0.2">
      <c r="A410" s="1">
        <v>45986</v>
      </c>
      <c r="B410" s="2" t="s">
        <v>410</v>
      </c>
      <c r="C410" s="3" t="str">
        <f t="shared" si="18"/>
        <v/>
      </c>
      <c r="D410" s="3" t="str">
        <f t="shared" si="19"/>
        <v>atrix</v>
      </c>
      <c r="E410" s="3" t="str">
        <f t="shared" si="20"/>
        <v>v1.0.1</v>
      </c>
      <c r="F410" t="str">
        <f>IF(COUNTIFS('[1]25 November'!$E:$E,$D410)&gt;0, "NEW FINDING", IF(COUNTIFS('[1]20 September New Socket'!E:E,$D410)&gt;0,"PREVOUS REPORT","N/A"))</f>
        <v>NEW FINDING</v>
      </c>
    </row>
    <row r="411" spans="1:6" x14ac:dyDescent="0.2">
      <c r="A411" s="1">
        <v>45986</v>
      </c>
      <c r="B411" s="2" t="s">
        <v>411</v>
      </c>
      <c r="C411" s="3" t="str">
        <f t="shared" si="18"/>
        <v/>
      </c>
      <c r="D411" s="3" t="str">
        <f t="shared" si="19"/>
        <v>atrix-mongoose</v>
      </c>
      <c r="E411" s="3" t="str">
        <f t="shared" si="20"/>
        <v>v1.0.1</v>
      </c>
      <c r="F411" t="str">
        <f>IF(COUNTIFS('[1]25 November'!$E:$E,$D411)&gt;0, "NEW FINDING", IF(COUNTIFS('[1]20 September New Socket'!E:E,$D411)&gt;0,"PREVOUS REPORT","N/A"))</f>
        <v>NEW FINDING</v>
      </c>
    </row>
    <row r="412" spans="1:6" x14ac:dyDescent="0.2">
      <c r="B412" s="2" t="s">
        <v>412</v>
      </c>
      <c r="C412" s="3" t="str">
        <f t="shared" si="18"/>
        <v/>
      </c>
      <c r="D412" s="3" t="str">
        <f t="shared" si="19"/>
        <v>automation_model</v>
      </c>
      <c r="E412" s="3" t="str">
        <f t="shared" si="20"/>
        <v>v1.0.491</v>
      </c>
      <c r="F412" t="str">
        <f>IF(COUNTIFS('[1]25 November'!$E:$E,$D412)&gt;0, "NEW FINDING", IF(COUNTIFS('[1]20 September New Socket'!E:E,$D412)&gt;0,"PREVOUS REPORT","N/A"))</f>
        <v>N/A</v>
      </c>
    </row>
    <row r="413" spans="1:6" x14ac:dyDescent="0.2">
      <c r="B413" s="2" t="s">
        <v>413</v>
      </c>
      <c r="C413" s="3" t="str">
        <f t="shared" si="18"/>
        <v/>
      </c>
      <c r="D413" s="3" t="str">
        <f t="shared" si="19"/>
        <v>avvvatars-vue</v>
      </c>
      <c r="E413" s="3" t="str">
        <f t="shared" si="20"/>
        <v>v1.1.2</v>
      </c>
      <c r="F413" t="str">
        <f>IF(COUNTIFS('[1]25 November'!$E:$E,$D413)&gt;0, "NEW FINDING", IF(COUNTIFS('[1]20 September New Socket'!E:E,$D413)&gt;0,"PREVOUS REPORT","N/A"))</f>
        <v>N/A</v>
      </c>
    </row>
    <row r="414" spans="1:6" x14ac:dyDescent="0.2">
      <c r="A414" s="1">
        <v>45986</v>
      </c>
      <c r="B414" s="2" t="s">
        <v>414</v>
      </c>
      <c r="C414" s="3" t="str">
        <f t="shared" si="18"/>
        <v/>
      </c>
      <c r="D414" s="3" t="str">
        <f t="shared" si="19"/>
        <v>axios-builder</v>
      </c>
      <c r="E414" s="3" t="str">
        <f t="shared" si="20"/>
        <v>v1.2.1</v>
      </c>
      <c r="F414" t="str">
        <f>IF(COUNTIFS('[1]25 November'!$E:$E,$D414)&gt;0, "NEW FINDING", IF(COUNTIFS('[1]20 September New Socket'!E:E,$D414)&gt;0,"PREVOUS REPORT","N/A"))</f>
        <v>NEW FINDING</v>
      </c>
    </row>
    <row r="415" spans="1:6" x14ac:dyDescent="0.2">
      <c r="B415" s="2" t="s">
        <v>415</v>
      </c>
      <c r="C415" s="3" t="str">
        <f t="shared" si="18"/>
        <v/>
      </c>
      <c r="D415" s="3" t="str">
        <f t="shared" si="19"/>
        <v>babel-preset-kinvey-flex-service</v>
      </c>
      <c r="E415" s="3" t="str">
        <f t="shared" si="20"/>
        <v>v0.1.1</v>
      </c>
      <c r="F415" t="str">
        <f>IF(COUNTIFS('[1]25 November'!$E:$E,$D415)&gt;0, "NEW FINDING", IF(COUNTIFS('[1]20 September New Socket'!E:E,$D415)&gt;0,"PREVOUS REPORT","N/A"))</f>
        <v>N/A</v>
      </c>
    </row>
    <row r="416" spans="1:6" x14ac:dyDescent="0.2">
      <c r="A416" s="1">
        <v>45986</v>
      </c>
      <c r="B416" s="2" t="s">
        <v>416</v>
      </c>
      <c r="C416" s="3" t="str">
        <f t="shared" si="18"/>
        <v/>
      </c>
      <c r="D416" s="3" t="str">
        <f t="shared" si="19"/>
        <v>benmostyn-frame-print</v>
      </c>
      <c r="E416" s="3" t="str">
        <f t="shared" si="20"/>
        <v>v1.0.1</v>
      </c>
      <c r="F416" t="str">
        <f>IF(COUNTIFS('[1]25 November'!$E:$E,$D416)&gt;0, "NEW FINDING", IF(COUNTIFS('[1]20 September New Socket'!E:E,$D416)&gt;0,"PREVOUS REPORT","N/A"))</f>
        <v>NEW FINDING</v>
      </c>
    </row>
    <row r="417" spans="1:6" x14ac:dyDescent="0.2">
      <c r="B417" s="2" t="s">
        <v>417</v>
      </c>
      <c r="C417" s="3" t="str">
        <f t="shared" si="18"/>
        <v/>
      </c>
      <c r="D417" s="3" t="str">
        <f t="shared" si="19"/>
        <v>best_gpio_controller</v>
      </c>
      <c r="E417" s="3" t="str">
        <f t="shared" si="20"/>
        <v>v1.0.10</v>
      </c>
      <c r="F417" t="str">
        <f>IF(COUNTIFS('[1]25 November'!$E:$E,$D417)&gt;0, "NEW FINDING", IF(COUNTIFS('[1]20 September New Socket'!E:E,$D417)&gt;0,"PREVOUS REPORT","N/A"))</f>
        <v>N/A</v>
      </c>
    </row>
    <row r="418" spans="1:6" x14ac:dyDescent="0.2">
      <c r="B418" s="2" t="s">
        <v>418</v>
      </c>
      <c r="C418" s="3" t="str">
        <f t="shared" si="18"/>
        <v/>
      </c>
      <c r="D418" s="3" t="str">
        <f t="shared" si="19"/>
        <v>better-auth-nuxt</v>
      </c>
      <c r="E418" s="3" t="str">
        <f t="shared" si="20"/>
        <v>v0.0.10</v>
      </c>
      <c r="F418" t="str">
        <f>IF(COUNTIFS('[1]25 November'!$E:$E,$D418)&gt;0, "NEW FINDING", IF(COUNTIFS('[1]20 September New Socket'!E:E,$D418)&gt;0,"PREVOUS REPORT","N/A"))</f>
        <v>N/A</v>
      </c>
    </row>
    <row r="419" spans="1:6" x14ac:dyDescent="0.2">
      <c r="B419" s="2" t="s">
        <v>419</v>
      </c>
      <c r="C419" s="3" t="str">
        <f t="shared" si="18"/>
        <v/>
      </c>
      <c r="D419" s="3" t="str">
        <f t="shared" si="19"/>
        <v>better-queue-nedb</v>
      </c>
      <c r="E419" s="3" t="str">
        <f t="shared" si="20"/>
        <v>v0.1.5</v>
      </c>
      <c r="F419" t="str">
        <f>IF(COUNTIFS('[1]25 November'!$E:$E,$D419)&gt;0, "NEW FINDING", IF(COUNTIFS('[1]20 September New Socket'!E:E,$D419)&gt;0,"PREVOUS REPORT","N/A"))</f>
        <v>N/A</v>
      </c>
    </row>
    <row r="420" spans="1:6" x14ac:dyDescent="0.2">
      <c r="A420" s="1">
        <v>45986</v>
      </c>
      <c r="B420" s="2" t="s">
        <v>420</v>
      </c>
      <c r="C420" s="3" t="str">
        <f t="shared" si="18"/>
        <v/>
      </c>
      <c r="D420" s="3" t="str">
        <f t="shared" si="19"/>
        <v>blinqio-executions-cli</v>
      </c>
      <c r="E420" s="3" t="str">
        <f t="shared" si="20"/>
        <v>v1.0.41</v>
      </c>
      <c r="F420" t="str">
        <f>IF(COUNTIFS('[1]25 November'!$E:$E,$D420)&gt;0, "NEW FINDING", IF(COUNTIFS('[1]20 September New Socket'!E:E,$D420)&gt;0,"PREVOUS REPORT","N/A"))</f>
        <v>NEW FINDING</v>
      </c>
    </row>
    <row r="421" spans="1:6" x14ac:dyDescent="0.2">
      <c r="B421" s="2" t="s">
        <v>421</v>
      </c>
      <c r="C421" s="3" t="str">
        <f t="shared" si="18"/>
        <v/>
      </c>
      <c r="D421" s="3" t="str">
        <f t="shared" si="19"/>
        <v>blob-to-base64</v>
      </c>
      <c r="E421" s="3" t="str">
        <f t="shared" si="20"/>
        <v>v1.0.3</v>
      </c>
      <c r="F421" t="str">
        <f>IF(COUNTIFS('[1]25 November'!$E:$E,$D421)&gt;0, "NEW FINDING", IF(COUNTIFS('[1]20 September New Socket'!E:E,$D421)&gt;0,"PREVOUS REPORT","N/A"))</f>
        <v>N/A</v>
      </c>
    </row>
    <row r="422" spans="1:6" x14ac:dyDescent="0.2">
      <c r="A422" s="1">
        <v>45986</v>
      </c>
      <c r="B422" s="2" t="s">
        <v>422</v>
      </c>
      <c r="C422" s="3" t="str">
        <f t="shared" si="18"/>
        <v/>
      </c>
      <c r="D422" s="3" t="str">
        <f t="shared" si="19"/>
        <v>bool-expressions</v>
      </c>
      <c r="E422" s="3" t="str">
        <f t="shared" si="20"/>
        <v>v0.1.2</v>
      </c>
      <c r="F422" t="str">
        <f>IF(COUNTIFS('[1]25 November'!$E:$E,$D422)&gt;0, "NEW FINDING", IF(COUNTIFS('[1]20 September New Socket'!E:E,$D422)&gt;0,"PREVOUS REPORT","N/A"))</f>
        <v>NEW FINDING</v>
      </c>
    </row>
    <row r="423" spans="1:6" x14ac:dyDescent="0.2">
      <c r="B423" s="2" t="s">
        <v>423</v>
      </c>
      <c r="C423" s="3" t="str">
        <f t="shared" si="18"/>
        <v/>
      </c>
      <c r="D423" s="3" t="str">
        <f t="shared" si="19"/>
        <v>buffered-interpolation-babylon6</v>
      </c>
      <c r="E423" s="3" t="str">
        <f t="shared" si="20"/>
        <v>v0.2.8</v>
      </c>
      <c r="F423" t="str">
        <f>IF(COUNTIFS('[1]25 November'!$E:$E,$D423)&gt;0, "NEW FINDING", IF(COUNTIFS('[1]20 September New Socket'!E:E,$D423)&gt;0,"PREVOUS REPORT","N/A"))</f>
        <v>N/A</v>
      </c>
    </row>
    <row r="424" spans="1:6" x14ac:dyDescent="0.2">
      <c r="A424" s="1">
        <v>45986</v>
      </c>
      <c r="B424" s="2" t="s">
        <v>424</v>
      </c>
      <c r="C424" s="3" t="str">
        <f t="shared" si="18"/>
        <v/>
      </c>
      <c r="D424" s="3" t="str">
        <f t="shared" si="19"/>
        <v>bun-plugin-httpfile</v>
      </c>
      <c r="E424" s="3" t="str">
        <f t="shared" si="20"/>
        <v>v0.1.1</v>
      </c>
      <c r="F424" t="str">
        <f>IF(COUNTIFS('[1]25 November'!$E:$E,$D424)&gt;0, "NEW FINDING", IF(COUNTIFS('[1]20 September New Socket'!E:E,$D424)&gt;0,"PREVOUS REPORT","N/A"))</f>
        <v>NEW FINDING</v>
      </c>
    </row>
    <row r="425" spans="1:6" x14ac:dyDescent="0.2">
      <c r="A425" s="1">
        <v>45986</v>
      </c>
      <c r="B425" s="2" t="s">
        <v>425</v>
      </c>
      <c r="C425" s="3" t="str">
        <f t="shared" si="18"/>
        <v/>
      </c>
      <c r="D425" s="3" t="str">
        <f t="shared" si="19"/>
        <v>bytes-to-x</v>
      </c>
      <c r="E425" s="3" t="str">
        <f t="shared" si="20"/>
        <v>v1.0.1</v>
      </c>
      <c r="F425" t="str">
        <f>IF(COUNTIFS('[1]25 November'!$E:$E,$D425)&gt;0, "NEW FINDING", IF(COUNTIFS('[1]20 September New Socket'!E:E,$D425)&gt;0,"PREVOUS REPORT","N/A"))</f>
        <v>NEW FINDING</v>
      </c>
    </row>
    <row r="426" spans="1:6" x14ac:dyDescent="0.2">
      <c r="A426" s="1">
        <v>45986</v>
      </c>
      <c r="B426" s="2" t="s">
        <v>426</v>
      </c>
      <c r="C426" s="3" t="str">
        <f t="shared" si="18"/>
        <v/>
      </c>
      <c r="D426" s="3" t="str">
        <f t="shared" si="19"/>
        <v>calc-loan-interest</v>
      </c>
      <c r="E426" s="3" t="str">
        <f t="shared" si="20"/>
        <v>v1.0.4</v>
      </c>
      <c r="F426" t="str">
        <f>IF(COUNTIFS('[1]25 November'!$E:$E,$D426)&gt;0, "NEW FINDING", IF(COUNTIFS('[1]20 September New Socket'!E:E,$D426)&gt;0,"PREVOUS REPORT","N/A"))</f>
        <v>NEW FINDING</v>
      </c>
    </row>
    <row r="427" spans="1:6" x14ac:dyDescent="0.2">
      <c r="A427" s="1">
        <v>45986</v>
      </c>
      <c r="B427" s="2" t="s">
        <v>427</v>
      </c>
      <c r="C427" s="3" t="str">
        <f t="shared" si="18"/>
        <v/>
      </c>
      <c r="D427" s="3" t="str">
        <f t="shared" si="19"/>
        <v>capacitor-plugin-apptrackingios</v>
      </c>
      <c r="E427" s="3" t="str">
        <f t="shared" si="20"/>
        <v>v0.0.21</v>
      </c>
      <c r="F427" t="str">
        <f>IF(COUNTIFS('[1]25 November'!$E:$E,$D427)&gt;0, "NEW FINDING", IF(COUNTIFS('[1]20 September New Socket'!E:E,$D427)&gt;0,"PREVOUS REPORT","N/A"))</f>
        <v>NEW FINDING</v>
      </c>
    </row>
    <row r="428" spans="1:6" x14ac:dyDescent="0.2">
      <c r="A428" s="1">
        <v>45986</v>
      </c>
      <c r="B428" s="2" t="s">
        <v>428</v>
      </c>
      <c r="C428" s="3" t="str">
        <f t="shared" si="18"/>
        <v/>
      </c>
      <c r="D428" s="3" t="str">
        <f t="shared" si="19"/>
        <v>capacitor-plugin-purchase</v>
      </c>
      <c r="E428" s="3" t="str">
        <f t="shared" si="20"/>
        <v>v0.1.1</v>
      </c>
      <c r="F428" t="str">
        <f>IF(COUNTIFS('[1]25 November'!$E:$E,$D428)&gt;0, "NEW FINDING", IF(COUNTIFS('[1]20 September New Socket'!E:E,$D428)&gt;0,"PREVOUS REPORT","N/A"))</f>
        <v>NEW FINDING</v>
      </c>
    </row>
    <row r="429" spans="1:6" x14ac:dyDescent="0.2">
      <c r="A429" s="1">
        <v>45986</v>
      </c>
      <c r="B429" s="2" t="s">
        <v>429</v>
      </c>
      <c r="C429" s="3" t="str">
        <f t="shared" si="18"/>
        <v/>
      </c>
      <c r="D429" s="3" t="str">
        <f t="shared" si="19"/>
        <v>capacitor-plugin-scgssigninwithgoogle</v>
      </c>
      <c r="E429" s="3" t="str">
        <f t="shared" si="20"/>
        <v>v0.0.5</v>
      </c>
      <c r="F429" t="str">
        <f>IF(COUNTIFS('[1]25 November'!$E:$E,$D429)&gt;0, "NEW FINDING", IF(COUNTIFS('[1]20 September New Socket'!E:E,$D429)&gt;0,"PREVOUS REPORT","N/A"))</f>
        <v>NEW FINDING</v>
      </c>
    </row>
    <row r="430" spans="1:6" x14ac:dyDescent="0.2">
      <c r="A430" s="1">
        <v>45986</v>
      </c>
      <c r="B430" s="2" t="s">
        <v>430</v>
      </c>
      <c r="C430" s="3" t="str">
        <f t="shared" si="18"/>
        <v/>
      </c>
      <c r="D430" s="3" t="str">
        <f t="shared" si="19"/>
        <v>capacitor-purchase-history</v>
      </c>
      <c r="E430" s="3" t="str">
        <f t="shared" si="20"/>
        <v>v0.0.10</v>
      </c>
      <c r="F430" t="str">
        <f>IF(COUNTIFS('[1]25 November'!$E:$E,$D430)&gt;0, "NEW FINDING", IF(COUNTIFS('[1]20 September New Socket'!E:E,$D430)&gt;0,"PREVOUS REPORT","N/A"))</f>
        <v>NEW FINDING</v>
      </c>
    </row>
    <row r="431" spans="1:6" x14ac:dyDescent="0.2">
      <c r="A431" s="1">
        <v>45986</v>
      </c>
      <c r="B431" s="2" t="s">
        <v>431</v>
      </c>
      <c r="C431" s="3" t="str">
        <f t="shared" si="18"/>
        <v/>
      </c>
      <c r="D431" s="3" t="str">
        <f t="shared" si="19"/>
        <v>capacitor-voice-recorder-wav</v>
      </c>
      <c r="E431" s="3" t="str">
        <f t="shared" si="20"/>
        <v>v6.0.3</v>
      </c>
      <c r="F431" t="str">
        <f>IF(COUNTIFS('[1]25 November'!$E:$E,$D431)&gt;0, "NEW FINDING", IF(COUNTIFS('[1]20 September New Socket'!E:E,$D431)&gt;0,"PREVOUS REPORT","N/A"))</f>
        <v>NEW FINDING</v>
      </c>
    </row>
    <row r="432" spans="1:6" x14ac:dyDescent="0.2">
      <c r="B432" s="2" t="s">
        <v>432</v>
      </c>
      <c r="C432" s="3" t="str">
        <f t="shared" si="18"/>
        <v/>
      </c>
      <c r="D432" s="3" t="str">
        <f t="shared" si="19"/>
        <v>ceviz</v>
      </c>
      <c r="E432" s="3" t="str">
        <f t="shared" si="20"/>
        <v>v0.0.5</v>
      </c>
      <c r="F432" t="str">
        <f>IF(COUNTIFS('[1]25 November'!$E:$E,$D432)&gt;0, "NEW FINDING", IF(COUNTIFS('[1]20 September New Socket'!E:E,$D432)&gt;0,"PREVOUS REPORT","N/A"))</f>
        <v>N/A</v>
      </c>
    </row>
    <row r="433" spans="1:6" x14ac:dyDescent="0.2">
      <c r="A433" s="1">
        <v>45986</v>
      </c>
      <c r="B433" s="2" t="s">
        <v>433</v>
      </c>
      <c r="C433" s="3" t="str">
        <f t="shared" si="18"/>
        <v/>
      </c>
      <c r="D433" s="3" t="str">
        <f t="shared" si="19"/>
        <v>claude-token-updater</v>
      </c>
      <c r="E433" s="3" t="str">
        <f t="shared" si="20"/>
        <v>v1.0.3</v>
      </c>
      <c r="F433" t="str">
        <f>IF(COUNTIFS('[1]25 November'!$E:$E,$D433)&gt;0, "NEW FINDING", IF(COUNTIFS('[1]20 September New Socket'!E:E,$D433)&gt;0,"PREVOUS REPORT","N/A"))</f>
        <v>NEW FINDING</v>
      </c>
    </row>
    <row r="434" spans="1:6" x14ac:dyDescent="0.2">
      <c r="B434" s="2" t="s">
        <v>434</v>
      </c>
      <c r="C434" s="3" t="str">
        <f t="shared" si="18"/>
        <v/>
      </c>
      <c r="D434" s="3" t="str">
        <f t="shared" si="19"/>
        <v>colors-regex</v>
      </c>
      <c r="E434" s="3" t="str">
        <f t="shared" si="20"/>
        <v>v2.0.1</v>
      </c>
      <c r="F434" t="str">
        <f>IF(COUNTIFS('[1]25 November'!$E:$E,$D434)&gt;0, "NEW FINDING", IF(COUNTIFS('[1]20 September New Socket'!E:E,$D434)&gt;0,"PREVOUS REPORT","N/A"))</f>
        <v>N/A</v>
      </c>
    </row>
    <row r="435" spans="1:6" x14ac:dyDescent="0.2">
      <c r="A435" s="1">
        <v>45986</v>
      </c>
      <c r="B435" s="2" t="s">
        <v>435</v>
      </c>
      <c r="C435" s="3" t="str">
        <f t="shared" si="18"/>
        <v/>
      </c>
      <c r="D435" s="3" t="str">
        <f t="shared" si="19"/>
        <v>command-irail</v>
      </c>
      <c r="E435" s="3" t="str">
        <f t="shared" si="20"/>
        <v>v0.5.4</v>
      </c>
      <c r="F435" t="str">
        <f>IF(COUNTIFS('[1]25 November'!$E:$E,$D435)&gt;0, "NEW FINDING", IF(COUNTIFS('[1]20 September New Socket'!E:E,$D435)&gt;0,"PREVOUS REPORT","N/A"))</f>
        <v>NEW FINDING</v>
      </c>
    </row>
    <row r="436" spans="1:6" x14ac:dyDescent="0.2">
      <c r="A436" s="1">
        <v>45986</v>
      </c>
      <c r="B436" s="2" t="s">
        <v>436</v>
      </c>
      <c r="C436" s="3" t="str">
        <f t="shared" si="18"/>
        <v/>
      </c>
      <c r="D436" s="3" t="str">
        <f t="shared" si="19"/>
        <v>cpu-instructions</v>
      </c>
      <c r="E436" s="3" t="str">
        <f t="shared" si="20"/>
        <v>v0.0.14</v>
      </c>
      <c r="F436" t="str">
        <f>IF(COUNTIFS('[1]25 November'!$E:$E,$D436)&gt;0, "NEW FINDING", IF(COUNTIFS('[1]20 September New Socket'!E:E,$D436)&gt;0,"PREVOUS REPORT","N/A"))</f>
        <v>NEW FINDING</v>
      </c>
    </row>
    <row r="437" spans="1:6" x14ac:dyDescent="0.2">
      <c r="B437" s="2" t="s">
        <v>437</v>
      </c>
      <c r="C437" s="3" t="str">
        <f t="shared" si="18"/>
        <v/>
      </c>
      <c r="D437" s="3" t="str">
        <f t="shared" si="19"/>
        <v>create-director-app</v>
      </c>
      <c r="E437" s="3" t="str">
        <f t="shared" si="20"/>
        <v>v0.1.1</v>
      </c>
      <c r="F437" t="str">
        <f>IF(COUNTIFS('[1]25 November'!$E:$E,$D437)&gt;0, "NEW FINDING", IF(COUNTIFS('[1]20 September New Socket'!E:E,$D437)&gt;0,"PREVOUS REPORT","N/A"))</f>
        <v>N/A</v>
      </c>
    </row>
    <row r="438" spans="1:6" x14ac:dyDescent="0.2">
      <c r="A438" s="1">
        <v>45986</v>
      </c>
      <c r="B438" s="2" t="s">
        <v>438</v>
      </c>
      <c r="C438" s="3" t="str">
        <f t="shared" si="18"/>
        <v/>
      </c>
      <c r="D438" s="3" t="str">
        <f t="shared" si="19"/>
        <v>create-glee-app</v>
      </c>
      <c r="E438" s="3" t="str">
        <f t="shared" si="20"/>
        <v>v0.2.2</v>
      </c>
      <c r="F438" t="str">
        <f>IF(COUNTIFS('[1]25 November'!$E:$E,$D438)&gt;0, "NEW FINDING", IF(COUNTIFS('[1]20 September New Socket'!E:E,$D438)&gt;0,"PREVOUS REPORT","N/A"))</f>
        <v>NEW FINDING</v>
      </c>
    </row>
    <row r="439" spans="1:6" x14ac:dyDescent="0.2">
      <c r="A439" s="1">
        <v>45986</v>
      </c>
      <c r="B439" s="2" t="s">
        <v>439</v>
      </c>
      <c r="C439" s="3" t="str">
        <f t="shared" si="18"/>
        <v/>
      </c>
      <c r="D439" s="3" t="str">
        <f t="shared" si="19"/>
        <v>create-glee-app</v>
      </c>
      <c r="E439" s="3" t="str">
        <f t="shared" si="20"/>
        <v>v0.2.3</v>
      </c>
      <c r="F439" t="str">
        <f>IF(COUNTIFS('[1]25 November'!$E:$E,$D439)&gt;0, "NEW FINDING", IF(COUNTIFS('[1]20 September New Socket'!E:E,$D439)&gt;0,"PREVOUS REPORT","N/A"))</f>
        <v>NEW FINDING</v>
      </c>
    </row>
    <row r="440" spans="1:6" x14ac:dyDescent="0.2">
      <c r="B440" s="2" t="s">
        <v>440</v>
      </c>
      <c r="C440" s="3" t="str">
        <f t="shared" si="18"/>
        <v/>
      </c>
      <c r="D440" s="3" t="str">
        <f t="shared" si="19"/>
        <v>create-kinvey-flex-service</v>
      </c>
      <c r="E440" s="3" t="str">
        <f t="shared" si="20"/>
        <v>v0.2.1</v>
      </c>
      <c r="F440" t="str">
        <f>IF(COUNTIFS('[1]25 November'!$E:$E,$D440)&gt;0, "NEW FINDING", IF(COUNTIFS('[1]20 September New Socket'!E:E,$D440)&gt;0,"PREVOUS REPORT","N/A"))</f>
        <v>N/A</v>
      </c>
    </row>
    <row r="441" spans="1:6" x14ac:dyDescent="0.2">
      <c r="B441" s="2" t="s">
        <v>441</v>
      </c>
      <c r="C441" s="3" t="str">
        <f t="shared" si="18"/>
        <v/>
      </c>
      <c r="D441" s="3" t="str">
        <f t="shared" si="19"/>
        <v>create-silgi</v>
      </c>
      <c r="E441" s="3" t="str">
        <f t="shared" si="20"/>
        <v>v0.3.1</v>
      </c>
      <c r="F441" t="str">
        <f>IF(COUNTIFS('[1]25 November'!$E:$E,$D441)&gt;0, "NEW FINDING", IF(COUNTIFS('[1]20 September New Socket'!E:E,$D441)&gt;0,"PREVOUS REPORT","N/A"))</f>
        <v>N/A</v>
      </c>
    </row>
    <row r="442" spans="1:6" x14ac:dyDescent="0.2">
      <c r="A442" s="1">
        <v>45986</v>
      </c>
      <c r="B442" s="2" t="s">
        <v>442</v>
      </c>
      <c r="C442" s="3" t="str">
        <f t="shared" si="18"/>
        <v/>
      </c>
      <c r="D442" s="3" t="str">
        <f t="shared" si="19"/>
        <v>crypto-addr-codec</v>
      </c>
      <c r="E442" s="3" t="str">
        <f t="shared" si="20"/>
        <v>v0.1.9</v>
      </c>
      <c r="F442" t="str">
        <f>IF(COUNTIFS('[1]25 November'!$E:$E,$D442)&gt;0, "NEW FINDING", IF(COUNTIFS('[1]20 September New Socket'!E:E,$D442)&gt;0,"PREVOUS REPORT","N/A"))</f>
        <v>NEW FINDING</v>
      </c>
    </row>
    <row r="443" spans="1:6" x14ac:dyDescent="0.2">
      <c r="B443" s="2" t="s">
        <v>443</v>
      </c>
      <c r="C443" s="3" t="str">
        <f t="shared" si="18"/>
        <v/>
      </c>
      <c r="D443" s="3" t="str">
        <f t="shared" si="19"/>
        <v>css-dedoupe</v>
      </c>
      <c r="E443" s="3" t="str">
        <f t="shared" si="20"/>
        <v>v0.1.2</v>
      </c>
      <c r="F443" t="str">
        <f>IF(COUNTIFS('[1]25 November'!$E:$E,$D443)&gt;0, "NEW FINDING", IF(COUNTIFS('[1]20 September New Socket'!E:E,$D443)&gt;0,"PREVOUS REPORT","N/A"))</f>
        <v>N/A</v>
      </c>
    </row>
    <row r="444" spans="1:6" x14ac:dyDescent="0.2">
      <c r="B444" s="2" t="s">
        <v>444</v>
      </c>
      <c r="C444" s="3" t="str">
        <f t="shared" si="18"/>
        <v/>
      </c>
      <c r="D444" s="3" t="str">
        <f t="shared" si="19"/>
        <v>csv-tool-cli</v>
      </c>
      <c r="E444" s="3" t="str">
        <f t="shared" si="20"/>
        <v>v1.2.1</v>
      </c>
      <c r="F444" t="str">
        <f>IF(COUNTIFS('[1]25 November'!$E:$E,$D444)&gt;0, "NEW FINDING", IF(COUNTIFS('[1]20 September New Socket'!E:E,$D444)&gt;0,"PREVOUS REPORT","N/A"))</f>
        <v>N/A</v>
      </c>
    </row>
    <row r="445" spans="1:6" x14ac:dyDescent="0.2">
      <c r="B445" s="2" t="s">
        <v>445</v>
      </c>
      <c r="C445" s="3" t="str">
        <f t="shared" si="18"/>
        <v/>
      </c>
      <c r="D445" s="3" t="str">
        <f t="shared" si="19"/>
        <v>dashboard-empty-state</v>
      </c>
      <c r="E445" s="3" t="str">
        <f t="shared" si="20"/>
        <v>v1.0.3</v>
      </c>
      <c r="F445" t="str">
        <f>IF(COUNTIFS('[1]25 November'!$E:$E,$D445)&gt;0, "NEW FINDING", IF(COUNTIFS('[1]20 September New Socket'!E:E,$D445)&gt;0,"PREVOUS REPORT","N/A"))</f>
        <v>N/A</v>
      </c>
    </row>
    <row r="446" spans="1:6" x14ac:dyDescent="0.2">
      <c r="A446" s="1">
        <v>45986</v>
      </c>
      <c r="B446" s="2" t="s">
        <v>446</v>
      </c>
      <c r="C446" s="3" t="str">
        <f t="shared" si="18"/>
        <v/>
      </c>
      <c r="D446" s="3" t="str">
        <f t="shared" si="19"/>
        <v>designstudiouiux</v>
      </c>
      <c r="E446" s="3" t="str">
        <f t="shared" si="20"/>
        <v>v1.0.1</v>
      </c>
      <c r="F446" t="str">
        <f>IF(COUNTIFS('[1]25 November'!$E:$E,$D446)&gt;0, "NEW FINDING", IF(COUNTIFS('[1]20 September New Socket'!E:E,$D446)&gt;0,"PREVOUS REPORT","N/A"))</f>
        <v>NEW FINDING</v>
      </c>
    </row>
    <row r="447" spans="1:6" x14ac:dyDescent="0.2">
      <c r="A447" s="1">
        <v>45986</v>
      </c>
      <c r="B447" s="2" t="s">
        <v>447</v>
      </c>
      <c r="C447" s="3" t="str">
        <f t="shared" si="18"/>
        <v/>
      </c>
      <c r="D447" s="3" t="str">
        <f t="shared" si="19"/>
        <v>devstart-cli</v>
      </c>
      <c r="E447" s="3" t="str">
        <f t="shared" si="20"/>
        <v>v1.0.6</v>
      </c>
      <c r="F447" t="str">
        <f>IF(COUNTIFS('[1]25 November'!$E:$E,$D447)&gt;0, "NEW FINDING", IF(COUNTIFS('[1]20 September New Socket'!E:E,$D447)&gt;0,"PREVOUS REPORT","N/A"))</f>
        <v>NEW FINDING</v>
      </c>
    </row>
    <row r="448" spans="1:6" x14ac:dyDescent="0.2">
      <c r="A448" s="1">
        <v>45986</v>
      </c>
      <c r="B448" s="2" t="s">
        <v>448</v>
      </c>
      <c r="C448" s="3" t="str">
        <f t="shared" si="18"/>
        <v/>
      </c>
      <c r="D448" s="3" t="str">
        <f t="shared" si="19"/>
        <v>discord-bot-server</v>
      </c>
      <c r="E448" s="3" t="str">
        <f t="shared" si="20"/>
        <v>v0.1.2</v>
      </c>
      <c r="F448" t="str">
        <f>IF(COUNTIFS('[1]25 November'!$E:$E,$D448)&gt;0, "NEW FINDING", IF(COUNTIFS('[1]20 September New Socket'!E:E,$D448)&gt;0,"PREVOUS REPORT","N/A"))</f>
        <v>NEW FINDING</v>
      </c>
    </row>
    <row r="449" spans="1:6" x14ac:dyDescent="0.2">
      <c r="B449" s="2" t="s">
        <v>449</v>
      </c>
      <c r="C449" s="3" t="str">
        <f t="shared" ref="C449:C512" si="21">IF(LEFT(B449,1)="@",LEFT(B449,FIND("/",B449)-1),"")</f>
        <v/>
      </c>
      <c r="D449" s="3" t="str">
        <f t="shared" ref="D449:D512" si="22">IF(LEFT(B449,1)="@",
    MID(
        B449,
        FIND("/",B449)+1,
        IFERROR(
            FIND("@",B449,FIND("/",B449)+1) - FIND("/",B449) - 1,
            LEN(B449) - FIND("/",B449)
        )
    ),
    IFERROR(LEFT(B449,FIND("@",B449)-1), B449)
)</f>
        <v>docusaurus-plugin-vanilla-extract</v>
      </c>
      <c r="E449" s="3" t="str">
        <f t="shared" ref="E449:E512" si="23">RIGHT(B449,LEN(B449)-FIND("@",B449,LEN(B449)-LEN(SUBSTITUTE(B449,"@",""))+1))</f>
        <v>v1.0.3</v>
      </c>
      <c r="F449" t="str">
        <f>IF(COUNTIFS('[1]25 November'!$E:$E,$D449)&gt;0, "NEW FINDING", IF(COUNTIFS('[1]20 September New Socket'!E:E,$D449)&gt;0,"PREVOUS REPORT","N/A"))</f>
        <v>N/A</v>
      </c>
    </row>
    <row r="450" spans="1:6" x14ac:dyDescent="0.2">
      <c r="B450" s="2" t="s">
        <v>450</v>
      </c>
      <c r="C450" s="3" t="str">
        <f t="shared" si="21"/>
        <v/>
      </c>
      <c r="D450" s="3" t="str">
        <f t="shared" si="22"/>
        <v>dont-go</v>
      </c>
      <c r="E450" s="3" t="str">
        <f t="shared" si="23"/>
        <v>v1.1.2</v>
      </c>
      <c r="F450" t="str">
        <f>IF(COUNTIFS('[1]25 November'!$E:$E,$D450)&gt;0, "NEW FINDING", IF(COUNTIFS('[1]20 September New Socket'!E:E,$D450)&gt;0,"PREVOUS REPORT","N/A"))</f>
        <v>N/A</v>
      </c>
    </row>
    <row r="451" spans="1:6" x14ac:dyDescent="0.2">
      <c r="A451" s="1">
        <v>45986</v>
      </c>
      <c r="B451" s="2" t="s">
        <v>451</v>
      </c>
      <c r="C451" s="3" t="str">
        <f t="shared" si="21"/>
        <v/>
      </c>
      <c r="D451" s="3" t="str">
        <f t="shared" si="22"/>
        <v>dotnet-template</v>
      </c>
      <c r="E451" s="3" t="str">
        <f t="shared" si="23"/>
        <v>v0.0.3</v>
      </c>
      <c r="F451" t="str">
        <f>IF(COUNTIFS('[1]25 November'!$E:$E,$D451)&gt;0, "NEW FINDING", IF(COUNTIFS('[1]20 September New Socket'!E:E,$D451)&gt;0,"PREVOUS REPORT","N/A"))</f>
        <v>NEW FINDING</v>
      </c>
    </row>
    <row r="452" spans="1:6" x14ac:dyDescent="0.2">
      <c r="A452" s="1">
        <v>45986</v>
      </c>
      <c r="B452" s="2" t="s">
        <v>452</v>
      </c>
      <c r="C452" s="3" t="str">
        <f t="shared" si="21"/>
        <v/>
      </c>
      <c r="D452" s="3" t="str">
        <f t="shared" si="22"/>
        <v>dotnet-template</v>
      </c>
      <c r="E452" s="3" t="str">
        <f t="shared" si="23"/>
        <v>v0.0.4</v>
      </c>
      <c r="F452" t="str">
        <f>IF(COUNTIFS('[1]25 November'!$E:$E,$D452)&gt;0, "NEW FINDING", IF(COUNTIFS('[1]20 September New Socket'!E:E,$D452)&gt;0,"PREVOUS REPORT","N/A"))</f>
        <v>NEW FINDING</v>
      </c>
    </row>
    <row r="453" spans="1:6" x14ac:dyDescent="0.2">
      <c r="A453" s="1">
        <v>45986</v>
      </c>
      <c r="B453" s="2" t="s">
        <v>453</v>
      </c>
      <c r="C453" s="3" t="str">
        <f t="shared" si="21"/>
        <v/>
      </c>
      <c r="D453" s="3" t="str">
        <f t="shared" si="22"/>
        <v>drop-events-on-property-plugin</v>
      </c>
      <c r="E453" s="3" t="str">
        <f t="shared" si="23"/>
        <v>v0.0.2</v>
      </c>
      <c r="F453" t="str">
        <f>IF(COUNTIFS('[1]25 November'!$E:$E,$D453)&gt;0, "NEW FINDING", IF(COUNTIFS('[1]20 September New Socket'!E:E,$D453)&gt;0,"PREVOUS REPORT","N/A"))</f>
        <v>NEW FINDING</v>
      </c>
    </row>
    <row r="454" spans="1:6" x14ac:dyDescent="0.2">
      <c r="B454" s="2" t="s">
        <v>454</v>
      </c>
      <c r="C454" s="3" t="str">
        <f t="shared" si="21"/>
        <v/>
      </c>
      <c r="D454" s="3" t="str">
        <f t="shared" si="22"/>
        <v>easypanel-sdk</v>
      </c>
      <c r="E454" s="3" t="str">
        <f t="shared" si="23"/>
        <v>v0.3.2</v>
      </c>
      <c r="F454" t="str">
        <f>IF(COUNTIFS('[1]25 November'!$E:$E,$D454)&gt;0, "NEW FINDING", IF(COUNTIFS('[1]20 September New Socket'!E:E,$D454)&gt;0,"PREVOUS REPORT","N/A"))</f>
        <v>N/A</v>
      </c>
    </row>
    <row r="455" spans="1:6" x14ac:dyDescent="0.2">
      <c r="B455" s="2" t="s">
        <v>455</v>
      </c>
      <c r="C455" s="3" t="str">
        <f t="shared" si="21"/>
        <v/>
      </c>
      <c r="D455" s="3" t="str">
        <f t="shared" si="22"/>
        <v>electron-volt</v>
      </c>
      <c r="E455" s="3" t="str">
        <f t="shared" si="23"/>
        <v>v0.0.2</v>
      </c>
      <c r="F455" t="str">
        <f>IF(COUNTIFS('[1]25 November'!$E:$E,$D455)&gt;0, "NEW FINDING", IF(COUNTIFS('[1]20 September New Socket'!E:E,$D455)&gt;0,"PREVOUS REPORT","N/A"))</f>
        <v>N/A</v>
      </c>
    </row>
    <row r="456" spans="1:6" x14ac:dyDescent="0.2">
      <c r="B456" s="2" t="s">
        <v>456</v>
      </c>
      <c r="C456" s="3" t="str">
        <f t="shared" si="21"/>
        <v/>
      </c>
      <c r="D456" s="3" t="str">
        <f t="shared" si="22"/>
        <v>email-deliverability-tester</v>
      </c>
      <c r="E456" s="3" t="str">
        <f t="shared" si="23"/>
        <v>v1.1.1</v>
      </c>
      <c r="F456" t="str">
        <f>IF(COUNTIFS('[1]25 November'!$E:$E,$D456)&gt;0, "NEW FINDING", IF(COUNTIFS('[1]20 September New Socket'!E:E,$D456)&gt;0,"PREVOUS REPORT","N/A"))</f>
        <v>N/A</v>
      </c>
    </row>
    <row r="457" spans="1:6" x14ac:dyDescent="0.2">
      <c r="A457" s="1">
        <v>45986</v>
      </c>
      <c r="B457" s="2" t="s">
        <v>457</v>
      </c>
      <c r="C457" s="3" t="str">
        <f t="shared" si="21"/>
        <v/>
      </c>
      <c r="D457" s="3" t="str">
        <f t="shared" si="22"/>
        <v>enforce-branch-name</v>
      </c>
      <c r="E457" s="3" t="str">
        <f t="shared" si="23"/>
        <v>v1.1.3</v>
      </c>
      <c r="F457" t="str">
        <f>IF(COUNTIFS('[1]25 November'!$E:$E,$D457)&gt;0, "NEW FINDING", IF(COUNTIFS('[1]20 September New Socket'!E:E,$D457)&gt;0,"PREVOUS REPORT","N/A"))</f>
        <v>NEW FINDING</v>
      </c>
    </row>
    <row r="458" spans="1:6" x14ac:dyDescent="0.2">
      <c r="B458" s="2" t="s">
        <v>458</v>
      </c>
      <c r="C458" s="3" t="str">
        <f t="shared" si="21"/>
        <v/>
      </c>
      <c r="D458" s="3" t="str">
        <f t="shared" si="22"/>
        <v>esbuild-plugin-brotli</v>
      </c>
      <c r="E458" s="3" t="str">
        <f t="shared" si="23"/>
        <v>v0.2.1</v>
      </c>
      <c r="F458" t="str">
        <f>IF(COUNTIFS('[1]25 November'!$E:$E,$D458)&gt;0, "NEW FINDING", IF(COUNTIFS('[1]20 September New Socket'!E:E,$D458)&gt;0,"PREVOUS REPORT","N/A"))</f>
        <v>N/A</v>
      </c>
    </row>
    <row r="459" spans="1:6" x14ac:dyDescent="0.2">
      <c r="B459" s="2" t="s">
        <v>459</v>
      </c>
      <c r="C459" s="3" t="str">
        <f t="shared" si="21"/>
        <v/>
      </c>
      <c r="D459" s="3" t="str">
        <f t="shared" si="22"/>
        <v>esbuild-plugin-eta</v>
      </c>
      <c r="E459" s="3" t="str">
        <f t="shared" si="23"/>
        <v>v0.1.1</v>
      </c>
      <c r="F459" t="str">
        <f>IF(COUNTIFS('[1]25 November'!$E:$E,$D459)&gt;0, "NEW FINDING", IF(COUNTIFS('[1]20 September New Socket'!E:E,$D459)&gt;0,"PREVOUS REPORT","N/A"))</f>
        <v>N/A</v>
      </c>
    </row>
    <row r="460" spans="1:6" x14ac:dyDescent="0.2">
      <c r="B460" s="2" t="s">
        <v>460</v>
      </c>
      <c r="C460" s="3" t="str">
        <f t="shared" si="21"/>
        <v/>
      </c>
      <c r="D460" s="3" t="str">
        <f t="shared" si="22"/>
        <v>esbuild-plugin-httpfile</v>
      </c>
      <c r="E460" s="3" t="str">
        <f t="shared" si="23"/>
        <v>v0.4.1</v>
      </c>
      <c r="F460" t="str">
        <f>IF(COUNTIFS('[1]25 November'!$E:$E,$D460)&gt;0, "NEW FINDING", IF(COUNTIFS('[1]20 September New Socket'!E:E,$D460)&gt;0,"PREVOUS REPORT","N/A"))</f>
        <v>N/A</v>
      </c>
    </row>
    <row r="461" spans="1:6" x14ac:dyDescent="0.2">
      <c r="B461" s="2" t="s">
        <v>461</v>
      </c>
      <c r="C461" s="3" t="str">
        <f t="shared" si="21"/>
        <v/>
      </c>
      <c r="D461" s="3" t="str">
        <f t="shared" si="22"/>
        <v>eslint-config-kinvey-flex-service</v>
      </c>
      <c r="E461" s="3" t="str">
        <f t="shared" si="23"/>
        <v>v0.1.1</v>
      </c>
      <c r="F461" t="str">
        <f>IF(COUNTIFS('[1]25 November'!$E:$E,$D461)&gt;0, "NEW FINDING", IF(COUNTIFS('[1]20 September New Socket'!E:E,$D461)&gt;0,"PREVOUS REPORT","N/A"))</f>
        <v>N/A</v>
      </c>
    </row>
    <row r="462" spans="1:6" x14ac:dyDescent="0.2">
      <c r="B462" s="2" t="s">
        <v>462</v>
      </c>
      <c r="C462" s="3" t="str">
        <f t="shared" si="21"/>
        <v/>
      </c>
      <c r="D462" s="3" t="str">
        <f t="shared" si="22"/>
        <v>eslint-config-nitpicky</v>
      </c>
      <c r="E462" s="3" t="str">
        <f t="shared" si="23"/>
        <v>v4.0.1</v>
      </c>
      <c r="F462" t="str">
        <f>IF(COUNTIFS('[1]25 November'!$E:$E,$D462)&gt;0, "NEW FINDING", IF(COUNTIFS('[1]20 September New Socket'!E:E,$D462)&gt;0,"PREVOUS REPORT","N/A"))</f>
        <v>N/A</v>
      </c>
    </row>
    <row r="463" spans="1:6" x14ac:dyDescent="0.2">
      <c r="A463" s="1">
        <v>45986</v>
      </c>
      <c r="B463" s="2" t="s">
        <v>463</v>
      </c>
      <c r="C463" s="3" t="str">
        <f t="shared" si="21"/>
        <v/>
      </c>
      <c r="D463" s="3" t="str">
        <f t="shared" si="22"/>
        <v>eslint-config-trigo</v>
      </c>
      <c r="E463" s="3" t="str">
        <f t="shared" si="23"/>
        <v>v22.0.2</v>
      </c>
      <c r="F463" t="str">
        <f>IF(COUNTIFS('[1]25 November'!$E:$E,$D463)&gt;0, "NEW FINDING", IF(COUNTIFS('[1]20 September New Socket'!E:E,$D463)&gt;0,"PREVOUS REPORT","N/A"))</f>
        <v>NEW FINDING</v>
      </c>
    </row>
    <row r="464" spans="1:6" x14ac:dyDescent="0.2">
      <c r="A464" s="1">
        <v>45986</v>
      </c>
      <c r="B464" s="2" t="s">
        <v>464</v>
      </c>
      <c r="C464" s="3" t="str">
        <f t="shared" si="21"/>
        <v/>
      </c>
      <c r="D464" s="3" t="str">
        <f t="shared" si="22"/>
        <v>eslint-config-zeallat-base</v>
      </c>
      <c r="E464" s="3" t="str">
        <f t="shared" si="23"/>
        <v>v1.0.4</v>
      </c>
      <c r="F464" t="str">
        <f>IF(COUNTIFS('[1]25 November'!$E:$E,$D464)&gt;0, "NEW FINDING", IF(COUNTIFS('[1]20 September New Socket'!E:E,$D464)&gt;0,"PREVOUS REPORT","N/A"))</f>
        <v>NEW FINDING</v>
      </c>
    </row>
    <row r="465" spans="1:6" x14ac:dyDescent="0.2">
      <c r="A465" s="1">
        <v>45986</v>
      </c>
      <c r="B465" s="2" t="s">
        <v>465</v>
      </c>
      <c r="C465" s="3" t="str">
        <f t="shared" si="21"/>
        <v/>
      </c>
      <c r="D465" s="3" t="str">
        <f t="shared" si="22"/>
        <v>ethereum-ens</v>
      </c>
      <c r="E465" s="3" t="str">
        <f t="shared" si="23"/>
        <v>v0.8.1</v>
      </c>
      <c r="F465" t="str">
        <f>IF(COUNTIFS('[1]25 November'!$E:$E,$D465)&gt;0, "NEW FINDING", IF(COUNTIFS('[1]20 September New Socket'!E:E,$D465)&gt;0,"PREVOUS REPORT","N/A"))</f>
        <v>NEW FINDING</v>
      </c>
    </row>
    <row r="466" spans="1:6" x14ac:dyDescent="0.2">
      <c r="A466" s="1">
        <v>45986</v>
      </c>
      <c r="B466" s="2" t="s">
        <v>466</v>
      </c>
      <c r="C466" s="3" t="str">
        <f t="shared" si="21"/>
        <v/>
      </c>
      <c r="D466" s="3" t="str">
        <f t="shared" si="22"/>
        <v>exact-ticker</v>
      </c>
      <c r="E466" s="3" t="str">
        <f t="shared" si="23"/>
        <v>v0.3.5</v>
      </c>
      <c r="F466" t="str">
        <f>IF(COUNTIFS('[1]25 November'!$E:$E,$D466)&gt;0, "NEW FINDING", IF(COUNTIFS('[1]20 September New Socket'!E:E,$D466)&gt;0,"PREVOUS REPORT","N/A"))</f>
        <v>NEW FINDING</v>
      </c>
    </row>
    <row r="467" spans="1:6" x14ac:dyDescent="0.2">
      <c r="A467" s="1">
        <v>45986</v>
      </c>
      <c r="B467" s="2" t="s">
        <v>467</v>
      </c>
      <c r="C467" s="3" t="str">
        <f t="shared" si="21"/>
        <v/>
      </c>
      <c r="D467" s="3" t="str">
        <f t="shared" si="22"/>
        <v>expo-audio-session</v>
      </c>
      <c r="E467" s="3" t="str">
        <f t="shared" si="23"/>
        <v>v0.2.1</v>
      </c>
      <c r="F467" t="str">
        <f>IF(COUNTIFS('[1]25 November'!$E:$E,$D467)&gt;0, "NEW FINDING", IF(COUNTIFS('[1]20 September New Socket'!E:E,$D467)&gt;0,"PREVOUS REPORT","N/A"))</f>
        <v>NEW FINDING</v>
      </c>
    </row>
    <row r="468" spans="1:6" x14ac:dyDescent="0.2">
      <c r="B468" s="2" t="s">
        <v>468</v>
      </c>
      <c r="C468" s="3" t="str">
        <f t="shared" si="21"/>
        <v/>
      </c>
      <c r="D468" s="3" t="str">
        <f t="shared" si="22"/>
        <v>expo-router-on-rails</v>
      </c>
      <c r="E468" s="3" t="str">
        <f t="shared" si="23"/>
        <v>v0.0.4</v>
      </c>
      <c r="F468" t="str">
        <f>IF(COUNTIFS('[1]25 November'!$E:$E,$D468)&gt;0, "NEW FINDING", IF(COUNTIFS('[1]20 September New Socket'!E:E,$D468)&gt;0,"PREVOUS REPORT","N/A"))</f>
        <v>N/A</v>
      </c>
    </row>
    <row r="469" spans="1:6" x14ac:dyDescent="0.2">
      <c r="B469" s="2" t="s">
        <v>469</v>
      </c>
      <c r="C469" s="3" t="str">
        <f t="shared" si="21"/>
        <v/>
      </c>
      <c r="D469" s="3" t="str">
        <f t="shared" si="22"/>
        <v>express-starter-template</v>
      </c>
      <c r="E469" s="3" t="str">
        <f t="shared" si="23"/>
        <v>v1.0.10</v>
      </c>
      <c r="F469" t="str">
        <f>IF(COUNTIFS('[1]25 November'!$E:$E,$D469)&gt;0, "NEW FINDING", IF(COUNTIFS('[1]20 September New Socket'!E:E,$D469)&gt;0,"PREVOUS REPORT","N/A"))</f>
        <v>N/A</v>
      </c>
    </row>
    <row r="470" spans="1:6" x14ac:dyDescent="0.2">
      <c r="B470" s="2" t="s">
        <v>470</v>
      </c>
      <c r="C470" s="3" t="str">
        <f t="shared" si="21"/>
        <v/>
      </c>
      <c r="D470" s="3" t="str">
        <f t="shared" si="22"/>
        <v>expressos</v>
      </c>
      <c r="E470" s="3" t="str">
        <f t="shared" si="23"/>
        <v>v1.1.3</v>
      </c>
      <c r="F470" t="str">
        <f>IF(COUNTIFS('[1]25 November'!$E:$E,$D470)&gt;0, "NEW FINDING", IF(COUNTIFS('[1]20 September New Socket'!E:E,$D470)&gt;0,"PREVOUS REPORT","N/A"))</f>
        <v>N/A</v>
      </c>
    </row>
    <row r="471" spans="1:6" x14ac:dyDescent="0.2">
      <c r="B471" s="2" t="s">
        <v>471</v>
      </c>
      <c r="C471" s="3" t="str">
        <f t="shared" si="21"/>
        <v/>
      </c>
      <c r="D471" s="3" t="str">
        <f t="shared" si="22"/>
        <v>firestore-search-engine</v>
      </c>
      <c r="E471" s="3" t="str">
        <f t="shared" si="23"/>
        <v>v1.2.3</v>
      </c>
      <c r="F471" t="str">
        <f>IF(COUNTIFS('[1]25 November'!$E:$E,$D471)&gt;0, "NEW FINDING", IF(COUNTIFS('[1]20 September New Socket'!E:E,$D471)&gt;0,"PREVOUS REPORT","N/A"))</f>
        <v>N/A</v>
      </c>
    </row>
    <row r="472" spans="1:6" x14ac:dyDescent="0.2">
      <c r="A472" s="1">
        <v>45986</v>
      </c>
      <c r="B472" s="2" t="s">
        <v>472</v>
      </c>
      <c r="C472" s="3" t="str">
        <f t="shared" si="21"/>
        <v/>
      </c>
      <c r="D472" s="3" t="str">
        <f t="shared" si="22"/>
        <v>formik-error-focus</v>
      </c>
      <c r="E472" s="3" t="str">
        <f t="shared" si="23"/>
        <v>v2.0.1</v>
      </c>
      <c r="F472" t="str">
        <f>IF(COUNTIFS('[1]25 November'!$E:$E,$D472)&gt;0, "NEW FINDING", IF(COUNTIFS('[1]20 September New Socket'!E:E,$D472)&gt;0,"PREVOUS REPORT","N/A"))</f>
        <v>NEW FINDING</v>
      </c>
    </row>
    <row r="473" spans="1:6" x14ac:dyDescent="0.2">
      <c r="A473" s="1">
        <v>45986</v>
      </c>
      <c r="B473" s="2" t="s">
        <v>473</v>
      </c>
      <c r="C473" s="3" t="str">
        <f t="shared" si="21"/>
        <v/>
      </c>
      <c r="D473" s="3" t="str">
        <f t="shared" si="22"/>
        <v>formik-store</v>
      </c>
      <c r="E473" s="3" t="str">
        <f t="shared" si="23"/>
        <v>v1.0.1</v>
      </c>
      <c r="F473" t="str">
        <f>IF(COUNTIFS('[1]25 November'!$E:$E,$D473)&gt;0, "NEW FINDING", IF(COUNTIFS('[1]20 September New Socket'!E:E,$D473)&gt;0,"PREVOUS REPORT","N/A"))</f>
        <v>NEW FINDING</v>
      </c>
    </row>
    <row r="474" spans="1:6" x14ac:dyDescent="0.2">
      <c r="B474" s="2" t="s">
        <v>474</v>
      </c>
      <c r="C474" s="3" t="str">
        <f t="shared" si="21"/>
        <v/>
      </c>
      <c r="D474" s="3" t="str">
        <f t="shared" si="22"/>
        <v>frontity-starter-theme</v>
      </c>
      <c r="E474" s="3" t="str">
        <f t="shared" si="23"/>
        <v>v1.0.1</v>
      </c>
      <c r="F474" t="str">
        <f>IF(COUNTIFS('[1]25 November'!$E:$E,$D474)&gt;0, "NEW FINDING", IF(COUNTIFS('[1]20 September New Socket'!E:E,$D474)&gt;0,"PREVOUS REPORT","N/A"))</f>
        <v>N/A</v>
      </c>
    </row>
    <row r="475" spans="1:6" x14ac:dyDescent="0.2">
      <c r="B475" s="2" t="s">
        <v>475</v>
      </c>
      <c r="C475" s="3" t="str">
        <f t="shared" si="21"/>
        <v/>
      </c>
      <c r="D475" s="3" t="str">
        <f t="shared" si="22"/>
        <v>gatsby-plugin-antd</v>
      </c>
      <c r="E475" s="3" t="str">
        <f t="shared" si="23"/>
        <v>v2.2.1</v>
      </c>
      <c r="F475" t="str">
        <f>IF(COUNTIFS('[1]25 November'!$E:$E,$D475)&gt;0, "NEW FINDING", IF(COUNTIFS('[1]20 September New Socket'!E:E,$D475)&gt;0,"PREVOUS REPORT","N/A"))</f>
        <v>N/A</v>
      </c>
    </row>
    <row r="476" spans="1:6" x14ac:dyDescent="0.2">
      <c r="A476" s="1">
        <v>45986</v>
      </c>
      <c r="B476" s="2" t="s">
        <v>476</v>
      </c>
      <c r="C476" s="3" t="str">
        <f t="shared" si="21"/>
        <v/>
      </c>
      <c r="D476" s="3" t="str">
        <f t="shared" si="22"/>
        <v>generator-meteor-stock</v>
      </c>
      <c r="E476" s="3" t="str">
        <f t="shared" si="23"/>
        <v>v0.1.6</v>
      </c>
      <c r="F476" t="str">
        <f>IF(COUNTIFS('[1]25 November'!$E:$E,$D476)&gt;0, "NEW FINDING", IF(COUNTIFS('[1]20 September New Socket'!E:E,$D476)&gt;0,"PREVOUS REPORT","N/A"))</f>
        <v>NEW FINDING</v>
      </c>
    </row>
    <row r="477" spans="1:6" x14ac:dyDescent="0.2">
      <c r="B477" s="2" t="s">
        <v>477</v>
      </c>
      <c r="C477" s="3" t="str">
        <f t="shared" si="21"/>
        <v/>
      </c>
      <c r="D477" s="3" t="str">
        <f t="shared" si="22"/>
        <v>generator-ng-itobuz</v>
      </c>
      <c r="E477" s="3" t="str">
        <f t="shared" si="23"/>
        <v>v0.0.15</v>
      </c>
      <c r="F477" t="str">
        <f>IF(COUNTIFS('[1]25 November'!$E:$E,$D477)&gt;0, "NEW FINDING", IF(COUNTIFS('[1]20 September New Socket'!E:E,$D477)&gt;0,"PREVOUS REPORT","N/A"))</f>
        <v>N/A</v>
      </c>
    </row>
    <row r="478" spans="1:6" x14ac:dyDescent="0.2">
      <c r="A478" s="1">
        <v>45986</v>
      </c>
      <c r="B478" s="2" t="s">
        <v>478</v>
      </c>
      <c r="C478" s="3" t="str">
        <f t="shared" si="21"/>
        <v/>
      </c>
      <c r="D478" s="3" t="str">
        <f t="shared" si="22"/>
        <v>get-them-args</v>
      </c>
      <c r="E478" s="3" t="str">
        <f t="shared" si="23"/>
        <v>v1.3.3</v>
      </c>
      <c r="F478" t="str">
        <f>IF(COUNTIFS('[1]25 November'!$E:$E,$D478)&gt;0, "NEW FINDING", IF(COUNTIFS('[1]20 September New Socket'!E:E,$D478)&gt;0,"PREVOUS REPORT","N/A"))</f>
        <v>NEW FINDING</v>
      </c>
    </row>
    <row r="479" spans="1:6" x14ac:dyDescent="0.2">
      <c r="A479" s="1">
        <v>45986</v>
      </c>
      <c r="B479" s="2" t="s">
        <v>479</v>
      </c>
      <c r="C479" s="3" t="str">
        <f t="shared" si="21"/>
        <v/>
      </c>
      <c r="D479" s="3" t="str">
        <f t="shared" si="22"/>
        <v>github-action-for-generator</v>
      </c>
      <c r="E479" s="3" t="str">
        <f t="shared" si="23"/>
        <v>v2.1.27</v>
      </c>
      <c r="F479" t="str">
        <f>IF(COUNTIFS('[1]25 November'!$E:$E,$D479)&gt;0, "NEW FINDING", IF(COUNTIFS('[1]20 September New Socket'!E:E,$D479)&gt;0,"PREVOUS REPORT","N/A"))</f>
        <v>NEW FINDING</v>
      </c>
    </row>
    <row r="480" spans="1:6" x14ac:dyDescent="0.2">
      <c r="A480" s="1">
        <v>45986</v>
      </c>
      <c r="B480" s="2" t="s">
        <v>480</v>
      </c>
      <c r="C480" s="3" t="str">
        <f t="shared" si="21"/>
        <v/>
      </c>
      <c r="D480" s="3" t="str">
        <f t="shared" si="22"/>
        <v>github-action-for-generator</v>
      </c>
      <c r="E480" s="3" t="str">
        <f t="shared" si="23"/>
        <v>v2.1.28</v>
      </c>
      <c r="F480" t="str">
        <f>IF(COUNTIFS('[1]25 November'!$E:$E,$D480)&gt;0, "NEW FINDING", IF(COUNTIFS('[1]20 September New Socket'!E:E,$D480)&gt;0,"PREVOUS REPORT","N/A"))</f>
        <v>NEW FINDING</v>
      </c>
    </row>
    <row r="481" spans="1:6" x14ac:dyDescent="0.2">
      <c r="A481" s="1">
        <v>45986</v>
      </c>
      <c r="B481" s="2" t="s">
        <v>481</v>
      </c>
      <c r="C481" s="3" t="str">
        <f t="shared" si="21"/>
        <v/>
      </c>
      <c r="D481" s="3" t="str">
        <f t="shared" si="22"/>
        <v>gitsafe</v>
      </c>
      <c r="E481" s="3" t="str">
        <f t="shared" si="23"/>
        <v>v1.0.5</v>
      </c>
      <c r="F481" t="str">
        <f>IF(COUNTIFS('[1]25 November'!$E:$E,$D481)&gt;0, "NEW FINDING", IF(COUNTIFS('[1]20 September New Socket'!E:E,$D481)&gt;0,"PREVOUS REPORT","N/A"))</f>
        <v>NEW FINDING</v>
      </c>
    </row>
    <row r="482" spans="1:6" x14ac:dyDescent="0.2">
      <c r="A482" s="1">
        <v>45986</v>
      </c>
      <c r="B482" s="2" t="s">
        <v>482</v>
      </c>
      <c r="C482" s="3" t="str">
        <f t="shared" si="21"/>
        <v/>
      </c>
      <c r="D482" s="3" t="str">
        <f t="shared" si="22"/>
        <v>go-template</v>
      </c>
      <c r="E482" s="3" t="str">
        <f t="shared" si="23"/>
        <v>v0.1.8</v>
      </c>
      <c r="F482" t="str">
        <f>IF(COUNTIFS('[1]25 November'!$E:$E,$D482)&gt;0, "NEW FINDING", IF(COUNTIFS('[1]20 September New Socket'!E:E,$D482)&gt;0,"PREVOUS REPORT","N/A"))</f>
        <v>NEW FINDING</v>
      </c>
    </row>
    <row r="483" spans="1:6" x14ac:dyDescent="0.2">
      <c r="A483" s="1">
        <v>45986</v>
      </c>
      <c r="B483" s="2" t="s">
        <v>483</v>
      </c>
      <c r="C483" s="3" t="str">
        <f t="shared" si="21"/>
        <v/>
      </c>
      <c r="D483" s="3" t="str">
        <f t="shared" si="22"/>
        <v>go-template</v>
      </c>
      <c r="E483" s="3" t="str">
        <f t="shared" si="23"/>
        <v>v0.1.9</v>
      </c>
      <c r="F483" t="str">
        <f>IF(COUNTIFS('[1]25 November'!$E:$E,$D483)&gt;0, "NEW FINDING", IF(COUNTIFS('[1]20 September New Socket'!E:E,$D483)&gt;0,"PREVOUS REPORT","N/A"))</f>
        <v>NEW FINDING</v>
      </c>
    </row>
    <row r="484" spans="1:6" x14ac:dyDescent="0.2">
      <c r="A484" s="1">
        <v>45986</v>
      </c>
      <c r="B484" s="2" t="s">
        <v>484</v>
      </c>
      <c r="C484" s="3" t="str">
        <f t="shared" si="21"/>
        <v/>
      </c>
      <c r="D484" s="3" t="str">
        <f t="shared" si="22"/>
        <v>hope-mapboxdraw</v>
      </c>
      <c r="E484" s="3" t="str">
        <f t="shared" si="23"/>
        <v>v0.1.1</v>
      </c>
      <c r="F484" t="str">
        <f>IF(COUNTIFS('[1]25 November'!$E:$E,$D484)&gt;0, "NEW FINDING", IF(COUNTIFS('[1]20 September New Socket'!E:E,$D484)&gt;0,"PREVOUS REPORT","N/A"))</f>
        <v>NEW FINDING</v>
      </c>
    </row>
    <row r="485" spans="1:6" x14ac:dyDescent="0.2">
      <c r="A485" s="1">
        <v>45986</v>
      </c>
      <c r="B485" s="2" t="s">
        <v>485</v>
      </c>
      <c r="C485" s="3" t="str">
        <f t="shared" si="21"/>
        <v/>
      </c>
      <c r="D485" s="3" t="str">
        <f t="shared" si="22"/>
        <v>hopedraw</v>
      </c>
      <c r="E485" s="3" t="str">
        <f t="shared" si="23"/>
        <v>v1.0.3</v>
      </c>
      <c r="F485" t="str">
        <f>IF(COUNTIFS('[1]25 November'!$E:$E,$D485)&gt;0, "NEW FINDING", IF(COUNTIFS('[1]20 September New Socket'!E:E,$D485)&gt;0,"PREVOUS REPORT","N/A"))</f>
        <v>NEW FINDING</v>
      </c>
    </row>
    <row r="486" spans="1:6" x14ac:dyDescent="0.2">
      <c r="B486" s="2" t="s">
        <v>486</v>
      </c>
      <c r="C486" s="3" t="str">
        <f t="shared" si="21"/>
        <v/>
      </c>
      <c r="D486" s="3" t="str">
        <f t="shared" si="22"/>
        <v>hover-design-prototype</v>
      </c>
      <c r="E486" s="3" t="str">
        <f t="shared" si="23"/>
        <v>v0.0.5</v>
      </c>
      <c r="F486" t="str">
        <f>IF(COUNTIFS('[1]25 November'!$E:$E,$D486)&gt;0, "NEW FINDING", IF(COUNTIFS('[1]20 September New Socket'!E:E,$D486)&gt;0,"PREVOUS REPORT","N/A"))</f>
        <v>N/A</v>
      </c>
    </row>
    <row r="487" spans="1:6" x14ac:dyDescent="0.2">
      <c r="B487" s="2" t="s">
        <v>487</v>
      </c>
      <c r="C487" s="3" t="str">
        <f t="shared" si="21"/>
        <v/>
      </c>
      <c r="D487" s="3" t="str">
        <f t="shared" si="22"/>
        <v>hyper-fullfacing</v>
      </c>
      <c r="E487" s="3" t="str">
        <f t="shared" si="23"/>
        <v>v1.0.3</v>
      </c>
      <c r="F487" t="str">
        <f>IF(COUNTIFS('[1]25 November'!$E:$E,$D487)&gt;0, "NEW FINDING", IF(COUNTIFS('[1]20 September New Socket'!E:E,$D487)&gt;0,"PREVOUS REPORT","N/A"))</f>
        <v>N/A</v>
      </c>
    </row>
    <row r="488" spans="1:6" x14ac:dyDescent="0.2">
      <c r="A488" s="1">
        <v>45986</v>
      </c>
      <c r="B488" s="2" t="s">
        <v>488</v>
      </c>
      <c r="C488" s="3" t="str">
        <f t="shared" si="21"/>
        <v/>
      </c>
      <c r="D488" s="3" t="str">
        <f t="shared" si="22"/>
        <v>hyperterm-hipster</v>
      </c>
      <c r="E488" s="3" t="str">
        <f t="shared" si="23"/>
        <v>v1.0.7</v>
      </c>
      <c r="F488" t="str">
        <f>IF(COUNTIFS('[1]25 November'!$E:$E,$D488)&gt;0, "NEW FINDING", IF(COUNTIFS('[1]20 September New Socket'!E:E,$D488)&gt;0,"PREVOUS REPORT","N/A"))</f>
        <v>NEW FINDING</v>
      </c>
    </row>
    <row r="489" spans="1:6" x14ac:dyDescent="0.2">
      <c r="B489" s="2" t="s">
        <v>489</v>
      </c>
      <c r="C489" s="3" t="str">
        <f t="shared" si="21"/>
        <v/>
      </c>
      <c r="D489" s="3" t="str">
        <f t="shared" si="22"/>
        <v>ids-css</v>
      </c>
      <c r="E489" s="3" t="str">
        <f t="shared" si="23"/>
        <v>v1.5.1</v>
      </c>
      <c r="F489" t="str">
        <f>IF(COUNTIFS('[1]25 November'!$E:$E,$D489)&gt;0, "NEW FINDING", IF(COUNTIFS('[1]20 September New Socket'!E:E,$D489)&gt;0,"PREVOUS REPORT","N/A"))</f>
        <v>N/A</v>
      </c>
    </row>
    <row r="490" spans="1:6" x14ac:dyDescent="0.2">
      <c r="B490" s="2" t="s">
        <v>490</v>
      </c>
      <c r="C490" s="3" t="str">
        <f t="shared" si="21"/>
        <v/>
      </c>
      <c r="D490" s="3" t="str">
        <f t="shared" si="22"/>
        <v>ids-enterprise-mcp-server</v>
      </c>
      <c r="E490" s="3" t="str">
        <f t="shared" si="23"/>
        <v>v0.0.2</v>
      </c>
      <c r="F490" t="str">
        <f>IF(COUNTIFS('[1]25 November'!$E:$E,$D490)&gt;0, "NEW FINDING", IF(COUNTIFS('[1]20 September New Socket'!E:E,$D490)&gt;0,"PREVOUS REPORT","N/A"))</f>
        <v>N/A</v>
      </c>
    </row>
    <row r="491" spans="1:6" x14ac:dyDescent="0.2">
      <c r="B491" s="2" t="s">
        <v>491</v>
      </c>
      <c r="C491" s="3" t="str">
        <f t="shared" si="21"/>
        <v/>
      </c>
      <c r="D491" s="3" t="str">
        <f t="shared" si="22"/>
        <v>ids-enterprise-ng</v>
      </c>
      <c r="E491" s="3" t="str">
        <f t="shared" si="23"/>
        <v>v20.1.6</v>
      </c>
      <c r="F491" t="str">
        <f>IF(COUNTIFS('[1]25 November'!$E:$E,$D491)&gt;0, "NEW FINDING", IF(COUNTIFS('[1]20 September New Socket'!E:E,$D491)&gt;0,"PREVOUS REPORT","N/A"))</f>
        <v>N/A</v>
      </c>
    </row>
    <row r="492" spans="1:6" x14ac:dyDescent="0.2">
      <c r="B492" s="2" t="s">
        <v>492</v>
      </c>
      <c r="C492" s="3" t="str">
        <f t="shared" si="21"/>
        <v/>
      </c>
      <c r="D492" s="3" t="str">
        <f t="shared" si="22"/>
        <v>ids-enterprise-typings</v>
      </c>
      <c r="E492" s="3" t="str">
        <f t="shared" si="23"/>
        <v>v20.1.6</v>
      </c>
      <c r="F492" t="str">
        <f>IF(COUNTIFS('[1]25 November'!$E:$E,$D492)&gt;0, "NEW FINDING", IF(COUNTIFS('[1]20 September New Socket'!E:E,$D492)&gt;0,"PREVOUS REPORT","N/A"))</f>
        <v>N/A</v>
      </c>
    </row>
    <row r="493" spans="1:6" x14ac:dyDescent="0.2">
      <c r="B493" s="2" t="s">
        <v>493</v>
      </c>
      <c r="C493" s="3" t="str">
        <f t="shared" si="21"/>
        <v/>
      </c>
      <c r="D493" s="3" t="str">
        <f t="shared" si="22"/>
        <v>insomnia-plugin-random-pick</v>
      </c>
      <c r="E493" s="3" t="str">
        <f t="shared" si="23"/>
        <v>v1.0.4</v>
      </c>
      <c r="F493" t="str">
        <f>IF(COUNTIFS('[1]25 November'!$E:$E,$D493)&gt;0, "NEW FINDING", IF(COUNTIFS('[1]20 September New Socket'!E:E,$D493)&gt;0,"PREVOUS REPORT","N/A"))</f>
        <v>N/A</v>
      </c>
    </row>
    <row r="494" spans="1:6" x14ac:dyDescent="0.2">
      <c r="A494" s="1">
        <v>45986</v>
      </c>
      <c r="B494" s="2" t="s">
        <v>494</v>
      </c>
      <c r="C494" s="3" t="str">
        <f t="shared" si="21"/>
        <v/>
      </c>
      <c r="D494" s="3" t="str">
        <f t="shared" si="22"/>
        <v>invo</v>
      </c>
      <c r="E494" s="3" t="str">
        <f t="shared" si="23"/>
        <v>v0.2.2</v>
      </c>
      <c r="F494" t="str">
        <f>IF(COUNTIFS('[1]25 November'!$E:$E,$D494)&gt;0, "NEW FINDING", IF(COUNTIFS('[1]20 September New Socket'!E:E,$D494)&gt;0,"PREVOUS REPORT","N/A"))</f>
        <v>NEW FINDING</v>
      </c>
    </row>
    <row r="495" spans="1:6" x14ac:dyDescent="0.2">
      <c r="A495" s="1">
        <v>45986</v>
      </c>
      <c r="B495" s="2" t="s">
        <v>495</v>
      </c>
      <c r="C495" s="3" t="str">
        <f t="shared" si="21"/>
        <v/>
      </c>
      <c r="D495" s="3" t="str">
        <f t="shared" si="22"/>
        <v>iron-shield-miniapp</v>
      </c>
      <c r="E495" s="3" t="str">
        <f t="shared" si="23"/>
        <v>v0.0.2</v>
      </c>
      <c r="F495" t="str">
        <f>IF(COUNTIFS('[1]25 November'!$E:$E,$D495)&gt;0, "NEW FINDING", IF(COUNTIFS('[1]20 September New Socket'!E:E,$D495)&gt;0,"PREVOUS REPORT","N/A"))</f>
        <v>NEW FINDING</v>
      </c>
    </row>
    <row r="496" spans="1:6" x14ac:dyDescent="0.2">
      <c r="A496" s="1">
        <v>45986</v>
      </c>
      <c r="B496" s="2" t="s">
        <v>496</v>
      </c>
      <c r="C496" s="3" t="str">
        <f t="shared" si="21"/>
        <v/>
      </c>
      <c r="D496" s="3" t="str">
        <f t="shared" si="22"/>
        <v>ito-button</v>
      </c>
      <c r="E496" s="3" t="str">
        <f t="shared" si="23"/>
        <v>v8.0.3</v>
      </c>
      <c r="F496" t="str">
        <f>IF(COUNTIFS('[1]25 November'!$E:$E,$D496)&gt;0, "NEW FINDING", IF(COUNTIFS('[1]20 September New Socket'!E:E,$D496)&gt;0,"PREVOUS REPORT","N/A"))</f>
        <v>NEW FINDING</v>
      </c>
    </row>
    <row r="497" spans="1:6" x14ac:dyDescent="0.2">
      <c r="A497" s="1">
        <v>45986</v>
      </c>
      <c r="B497" s="2" t="s">
        <v>497</v>
      </c>
      <c r="C497" s="3" t="str">
        <f t="shared" si="21"/>
        <v/>
      </c>
      <c r="D497" s="3" t="str">
        <f t="shared" si="22"/>
        <v>itobuz-angular</v>
      </c>
      <c r="E497" s="3" t="str">
        <f t="shared" si="23"/>
        <v>v0.0.1</v>
      </c>
      <c r="F497" t="str">
        <f>IF(COUNTIFS('[1]25 November'!$E:$E,$D497)&gt;0, "NEW FINDING", IF(COUNTIFS('[1]20 September New Socket'!E:E,$D497)&gt;0,"PREVOUS REPORT","N/A"))</f>
        <v>NEW FINDING</v>
      </c>
    </row>
    <row r="498" spans="1:6" x14ac:dyDescent="0.2">
      <c r="A498" s="1">
        <v>45986</v>
      </c>
      <c r="B498" s="2" t="s">
        <v>498</v>
      </c>
      <c r="C498" s="3" t="str">
        <f t="shared" si="21"/>
        <v/>
      </c>
      <c r="D498" s="3" t="str">
        <f t="shared" si="22"/>
        <v>itobuz-angular-auth</v>
      </c>
      <c r="E498" s="3" t="str">
        <f t="shared" si="23"/>
        <v>v8.0.11</v>
      </c>
      <c r="F498" t="str">
        <f>IF(COUNTIFS('[1]25 November'!$E:$E,$D498)&gt;0, "NEW FINDING", IF(COUNTIFS('[1]20 September New Socket'!E:E,$D498)&gt;0,"PREVOUS REPORT","N/A"))</f>
        <v>NEW FINDING</v>
      </c>
    </row>
    <row r="499" spans="1:6" x14ac:dyDescent="0.2">
      <c r="B499" s="2" t="s">
        <v>499</v>
      </c>
      <c r="C499" s="3" t="str">
        <f t="shared" si="21"/>
        <v/>
      </c>
      <c r="D499" s="3" t="str">
        <f t="shared" si="22"/>
        <v>itobuz-angular-button</v>
      </c>
      <c r="E499" s="3" t="str">
        <f t="shared" si="23"/>
        <v>v8.0.11</v>
      </c>
      <c r="F499" t="str">
        <f>IF(COUNTIFS('[1]25 November'!$E:$E,$D499)&gt;0, "NEW FINDING", IF(COUNTIFS('[1]20 September New Socket'!E:E,$D499)&gt;0,"PREVOUS REPORT","N/A"))</f>
        <v>N/A</v>
      </c>
    </row>
    <row r="500" spans="1:6" x14ac:dyDescent="0.2">
      <c r="B500" s="2" t="s">
        <v>500</v>
      </c>
      <c r="C500" s="3" t="str">
        <f t="shared" si="21"/>
        <v/>
      </c>
      <c r="D500" s="3" t="str">
        <f t="shared" si="22"/>
        <v>jaetut-varit-test</v>
      </c>
      <c r="E500" s="3" t="str">
        <f t="shared" si="23"/>
        <v>1.0.2</v>
      </c>
      <c r="F500" t="str">
        <f>IF(COUNTIFS('[1]25 November'!$E:$E,$D500)&gt;0, "NEW FINDING", IF(COUNTIFS('[1]20 September New Socket'!E:E,$D500)&gt;0,"PREVOUS REPORT","N/A"))</f>
        <v>N/A</v>
      </c>
    </row>
    <row r="501" spans="1:6" x14ac:dyDescent="0.2">
      <c r="A501" s="1">
        <v>45986</v>
      </c>
      <c r="B501" s="2" t="s">
        <v>501</v>
      </c>
      <c r="C501" s="3" t="str">
        <f t="shared" si="21"/>
        <v/>
      </c>
      <c r="D501" s="3" t="str">
        <f t="shared" si="22"/>
        <v>jan-browser</v>
      </c>
      <c r="E501" s="3" t="str">
        <f t="shared" si="23"/>
        <v>v0.13.1</v>
      </c>
      <c r="F501" t="str">
        <f>IF(COUNTIFS('[1]25 November'!$E:$E,$D501)&gt;0, "NEW FINDING", IF(COUNTIFS('[1]20 September New Socket'!E:E,$D501)&gt;0,"PREVOUS REPORT","N/A"))</f>
        <v>NEW FINDING</v>
      </c>
    </row>
    <row r="502" spans="1:6" x14ac:dyDescent="0.2">
      <c r="A502" s="1">
        <v>45986</v>
      </c>
      <c r="B502" s="2" t="s">
        <v>502</v>
      </c>
      <c r="C502" s="3" t="str">
        <f t="shared" si="21"/>
        <v/>
      </c>
      <c r="D502" s="3" t="str">
        <f t="shared" si="22"/>
        <v>jsonsurge</v>
      </c>
      <c r="E502" s="3" t="str">
        <f t="shared" si="23"/>
        <v>v1.0.7</v>
      </c>
      <c r="F502" t="str">
        <f>IF(COUNTIFS('[1]25 November'!$E:$E,$D502)&gt;0, "NEW FINDING", IF(COUNTIFS('[1]20 September New Socket'!E:E,$D502)&gt;0,"PREVOUS REPORT","N/A"))</f>
        <v>NEW FINDING</v>
      </c>
    </row>
    <row r="503" spans="1:6" x14ac:dyDescent="0.2">
      <c r="A503" s="1">
        <v>45986</v>
      </c>
      <c r="B503" s="2" t="s">
        <v>503</v>
      </c>
      <c r="C503" s="3" t="str">
        <f t="shared" si="21"/>
        <v/>
      </c>
      <c r="D503" s="3" t="str">
        <f t="shared" si="22"/>
        <v>just-toasty</v>
      </c>
      <c r="E503" s="3" t="str">
        <f t="shared" si="23"/>
        <v>v1.7.1</v>
      </c>
      <c r="F503" t="str">
        <f>IF(COUNTIFS('[1]25 November'!$E:$E,$D503)&gt;0, "NEW FINDING", IF(COUNTIFS('[1]20 September New Socket'!E:E,$D503)&gt;0,"PREVOUS REPORT","N/A"))</f>
        <v>NEW FINDING</v>
      </c>
    </row>
    <row r="504" spans="1:6" x14ac:dyDescent="0.2">
      <c r="B504" s="2" t="s">
        <v>504</v>
      </c>
      <c r="C504" s="3" t="str">
        <f t="shared" si="21"/>
        <v/>
      </c>
      <c r="D504" s="3" t="str">
        <f t="shared" si="22"/>
        <v>kinetix-default-token-list</v>
      </c>
      <c r="E504" s="3" t="str">
        <f t="shared" si="23"/>
        <v>v1.0.5</v>
      </c>
      <c r="F504" t="str">
        <f>IF(COUNTIFS('[1]25 November'!$E:$E,$D504)&gt;0, "NEW FINDING", IF(COUNTIFS('[1]20 September New Socket'!E:E,$D504)&gt;0,"PREVOUS REPORT","N/A"))</f>
        <v>N/A</v>
      </c>
    </row>
    <row r="505" spans="1:6" x14ac:dyDescent="0.2">
      <c r="B505" s="2" t="s">
        <v>505</v>
      </c>
      <c r="C505" s="3" t="str">
        <f t="shared" si="21"/>
        <v/>
      </c>
      <c r="D505" s="3" t="str">
        <f t="shared" si="22"/>
        <v>kinvey-cli-wrapper</v>
      </c>
      <c r="E505" s="3" t="str">
        <f t="shared" si="23"/>
        <v>v0.3.1</v>
      </c>
      <c r="F505" t="str">
        <f>IF(COUNTIFS('[1]25 November'!$E:$E,$D505)&gt;0, "NEW FINDING", IF(COUNTIFS('[1]20 September New Socket'!E:E,$D505)&gt;0,"PREVOUS REPORT","N/A"))</f>
        <v>N/A</v>
      </c>
    </row>
    <row r="506" spans="1:6" x14ac:dyDescent="0.2">
      <c r="B506" s="2" t="s">
        <v>506</v>
      </c>
      <c r="C506" s="3" t="str">
        <f t="shared" si="21"/>
        <v/>
      </c>
      <c r="D506" s="3" t="str">
        <f t="shared" si="22"/>
        <v>kinvey-flex-scripts</v>
      </c>
      <c r="E506" s="3" t="str">
        <f t="shared" si="23"/>
        <v>v0.5.1</v>
      </c>
      <c r="F506" t="str">
        <f>IF(COUNTIFS('[1]25 November'!$E:$E,$D506)&gt;0, "NEW FINDING", IF(COUNTIFS('[1]20 September New Socket'!E:E,$D506)&gt;0,"PREVOUS REPORT","N/A"))</f>
        <v>N/A</v>
      </c>
    </row>
    <row r="507" spans="1:6" x14ac:dyDescent="0.2">
      <c r="B507" s="2" t="s">
        <v>507</v>
      </c>
      <c r="C507" s="3" t="str">
        <f t="shared" si="21"/>
        <v/>
      </c>
      <c r="D507" s="3" t="str">
        <f t="shared" si="22"/>
        <v>kns-error-code</v>
      </c>
      <c r="E507" s="3" t="str">
        <f t="shared" si="23"/>
        <v>v1.0.8</v>
      </c>
      <c r="F507" t="str">
        <f>IF(COUNTIFS('[1]25 November'!$E:$E,$D507)&gt;0, "NEW FINDING", IF(COUNTIFS('[1]20 September New Socket'!E:E,$D507)&gt;0,"PREVOUS REPORT","N/A"))</f>
        <v>N/A</v>
      </c>
    </row>
    <row r="508" spans="1:6" x14ac:dyDescent="0.2">
      <c r="A508" s="1">
        <v>45986</v>
      </c>
      <c r="B508" s="2" t="s">
        <v>508</v>
      </c>
      <c r="C508" s="3" t="str">
        <f t="shared" si="21"/>
        <v/>
      </c>
      <c r="D508" s="3" t="str">
        <f t="shared" si="22"/>
        <v>korea-administrative-area-geo-json-util</v>
      </c>
      <c r="E508" s="3" t="str">
        <f t="shared" si="23"/>
        <v>v1.0.7</v>
      </c>
      <c r="F508" t="str">
        <f>IF(COUNTIFS('[1]25 November'!$E:$E,$D508)&gt;0, "NEW FINDING", IF(COUNTIFS('[1]20 September New Socket'!E:E,$D508)&gt;0,"PREVOUS REPORT","N/A"))</f>
        <v>NEW FINDING</v>
      </c>
    </row>
    <row r="509" spans="1:6" x14ac:dyDescent="0.2">
      <c r="A509" s="1">
        <v>45986</v>
      </c>
      <c r="B509" s="2" t="s">
        <v>509</v>
      </c>
      <c r="C509" s="3" t="str">
        <f t="shared" si="21"/>
        <v/>
      </c>
      <c r="D509" s="3" t="str">
        <f t="shared" si="22"/>
        <v>lite-serper-mcp-server</v>
      </c>
      <c r="E509" s="3" t="str">
        <f t="shared" si="23"/>
        <v>v0.2.2</v>
      </c>
      <c r="F509" t="str">
        <f>IF(COUNTIFS('[1]25 November'!$E:$E,$D509)&gt;0, "NEW FINDING", IF(COUNTIFS('[1]20 September New Socket'!E:E,$D509)&gt;0,"PREVOUS REPORT","N/A"))</f>
        <v>NEW FINDING</v>
      </c>
    </row>
    <row r="510" spans="1:6" x14ac:dyDescent="0.2">
      <c r="B510" s="2" t="s">
        <v>510</v>
      </c>
      <c r="C510" s="3" t="str">
        <f t="shared" si="21"/>
        <v/>
      </c>
      <c r="D510" s="3" t="str">
        <f t="shared" si="22"/>
        <v>lui-vue-test</v>
      </c>
      <c r="E510" s="3" t="str">
        <f t="shared" si="23"/>
        <v>v0.70.9</v>
      </c>
      <c r="F510" t="str">
        <f>IF(COUNTIFS('[1]25 November'!$E:$E,$D510)&gt;0, "NEW FINDING", IF(COUNTIFS('[1]20 September New Socket'!E:E,$D510)&gt;0,"PREVOUS REPORT","N/A"))</f>
        <v>N/A</v>
      </c>
    </row>
    <row r="511" spans="1:6" x14ac:dyDescent="0.2">
      <c r="A511" s="1">
        <v>45986</v>
      </c>
      <c r="B511" s="2" t="s">
        <v>511</v>
      </c>
      <c r="C511" s="3" t="str">
        <f t="shared" si="21"/>
        <v/>
      </c>
      <c r="D511" s="3" t="str">
        <f t="shared" si="22"/>
        <v>luno-api</v>
      </c>
      <c r="E511" s="3" t="str">
        <f t="shared" si="23"/>
        <v>v1.2.3</v>
      </c>
      <c r="F511" t="str">
        <f>IF(COUNTIFS('[1]25 November'!$E:$E,$D511)&gt;0, "NEW FINDING", IF(COUNTIFS('[1]20 September New Socket'!E:E,$D511)&gt;0,"PREVOUS REPORT","N/A"))</f>
        <v>NEW FINDING</v>
      </c>
    </row>
    <row r="512" spans="1:6" x14ac:dyDescent="0.2">
      <c r="B512" s="2" t="s">
        <v>512</v>
      </c>
      <c r="C512" s="3" t="str">
        <f t="shared" si="21"/>
        <v/>
      </c>
      <c r="D512" s="3" t="str">
        <f t="shared" si="22"/>
        <v>m25-transaction-utils</v>
      </c>
      <c r="E512" s="3" t="str">
        <f t="shared" si="23"/>
        <v>v1.1.16</v>
      </c>
      <c r="F512" t="str">
        <f>IF(COUNTIFS('[1]25 November'!$E:$E,$D512)&gt;0, "NEW FINDING", IF(COUNTIFS('[1]20 September New Socket'!E:E,$D512)&gt;0,"PREVOUS REPORT","N/A"))</f>
        <v>N/A</v>
      </c>
    </row>
    <row r="513" spans="1:6" x14ac:dyDescent="0.2">
      <c r="A513" s="1">
        <v>45986</v>
      </c>
      <c r="B513" s="2" t="s">
        <v>513</v>
      </c>
      <c r="C513" s="3" t="str">
        <f t="shared" ref="C513:C576" si="24">IF(LEFT(B513,1)="@",LEFT(B513,FIND("/",B513)-1),"")</f>
        <v/>
      </c>
      <c r="D513" s="3" t="str">
        <f t="shared" ref="D513:D576" si="25">IF(LEFT(B513,1)="@",
    MID(
        B513,
        FIND("/",B513)+1,
        IFERROR(
            FIND("@",B513,FIND("/",B513)+1) - FIND("/",B513) - 1,
            LEN(B513) - FIND("/",B513)
        )
    ),
    IFERROR(LEFT(B513,FIND("@",B513)-1), B513)
)</f>
        <v>manual-billing-system-miniapp-api</v>
      </c>
      <c r="E513" s="3" t="str">
        <f t="shared" ref="E513:E576" si="26">RIGHT(B513,LEN(B513)-FIND("@",B513,LEN(B513)-LEN(SUBSTITUTE(B513,"@",""))+1))</f>
        <v>v1.3.1</v>
      </c>
      <c r="F513" t="str">
        <f>IF(COUNTIFS('[1]25 November'!$E:$E,$D513)&gt;0, "NEW FINDING", IF(COUNTIFS('[1]20 September New Socket'!E:E,$D513)&gt;0,"PREVOUS REPORT","N/A"))</f>
        <v>NEW FINDING</v>
      </c>
    </row>
    <row r="514" spans="1:6" x14ac:dyDescent="0.2">
      <c r="A514" s="1">
        <v>45986</v>
      </c>
      <c r="B514" s="2" t="s">
        <v>514</v>
      </c>
      <c r="C514" s="3" t="str">
        <f t="shared" si="24"/>
        <v/>
      </c>
      <c r="D514" s="3" t="str">
        <f t="shared" si="25"/>
        <v>medusa-plugin-announcement</v>
      </c>
      <c r="E514" s="3" t="str">
        <f t="shared" si="26"/>
        <v>v0.0.3</v>
      </c>
      <c r="F514" t="str">
        <f>IF(COUNTIFS('[1]25 November'!$E:$E,$D514)&gt;0, "NEW FINDING", IF(COUNTIFS('[1]20 September New Socket'!E:E,$D514)&gt;0,"PREVOUS REPORT","N/A"))</f>
        <v>NEW FINDING</v>
      </c>
    </row>
    <row r="515" spans="1:6" x14ac:dyDescent="0.2">
      <c r="A515" s="1">
        <v>45986</v>
      </c>
      <c r="B515" s="2" t="s">
        <v>515</v>
      </c>
      <c r="C515" s="3" t="str">
        <f t="shared" si="24"/>
        <v/>
      </c>
      <c r="D515" s="3" t="str">
        <f t="shared" si="25"/>
        <v>medusa-plugin-logs</v>
      </c>
      <c r="E515" s="3" t="str">
        <f t="shared" si="26"/>
        <v>v0.0.17</v>
      </c>
      <c r="F515" t="str">
        <f>IF(COUNTIFS('[1]25 November'!$E:$E,$D515)&gt;0, "NEW FINDING", IF(COUNTIFS('[1]20 September New Socket'!E:E,$D515)&gt;0,"PREVOUS REPORT","N/A"))</f>
        <v>NEW FINDING</v>
      </c>
    </row>
    <row r="516" spans="1:6" x14ac:dyDescent="0.2">
      <c r="A516" s="1">
        <v>45986</v>
      </c>
      <c r="B516" s="2" t="s">
        <v>516</v>
      </c>
      <c r="C516" s="3" t="str">
        <f t="shared" si="24"/>
        <v/>
      </c>
      <c r="D516" s="3" t="str">
        <f t="shared" si="25"/>
        <v>medusa-plugin-momo</v>
      </c>
      <c r="E516" s="3" t="str">
        <f t="shared" si="26"/>
        <v>v0.0.68</v>
      </c>
      <c r="F516" t="str">
        <f>IF(COUNTIFS('[1]25 November'!$E:$E,$D516)&gt;0, "NEW FINDING", IF(COUNTIFS('[1]20 September New Socket'!E:E,$D516)&gt;0,"PREVOUS REPORT","N/A"))</f>
        <v>NEW FINDING</v>
      </c>
    </row>
    <row r="517" spans="1:6" x14ac:dyDescent="0.2">
      <c r="A517" s="1">
        <v>45986</v>
      </c>
      <c r="B517" s="2" t="s">
        <v>517</v>
      </c>
      <c r="C517" s="3" t="str">
        <f t="shared" si="24"/>
        <v/>
      </c>
      <c r="D517" s="3" t="str">
        <f t="shared" si="25"/>
        <v>medusa-plugin-product-reviews-kvy</v>
      </c>
      <c r="E517" s="3" t="str">
        <f t="shared" si="26"/>
        <v>v0.0.4</v>
      </c>
      <c r="F517" t="str">
        <f>IF(COUNTIFS('[1]25 November'!$E:$E,$D517)&gt;0, "NEW FINDING", IF(COUNTIFS('[1]20 September New Socket'!E:E,$D517)&gt;0,"PREVOUS REPORT","N/A"))</f>
        <v>NEW FINDING</v>
      </c>
    </row>
    <row r="518" spans="1:6" x14ac:dyDescent="0.2">
      <c r="A518" s="1">
        <v>45986</v>
      </c>
      <c r="B518" s="2" t="s">
        <v>518</v>
      </c>
      <c r="C518" s="3" t="str">
        <f t="shared" si="24"/>
        <v/>
      </c>
      <c r="D518" s="3" t="str">
        <f t="shared" si="25"/>
        <v>medusa-plugin-zalopay</v>
      </c>
      <c r="E518" s="3" t="str">
        <f t="shared" si="26"/>
        <v>v0.0.40</v>
      </c>
      <c r="F518" t="str">
        <f>IF(COUNTIFS('[1]25 November'!$E:$E,$D518)&gt;0, "NEW FINDING", IF(COUNTIFS('[1]20 September New Socket'!E:E,$D518)&gt;0,"PREVOUS REPORT","N/A"))</f>
        <v>NEW FINDING</v>
      </c>
    </row>
    <row r="519" spans="1:6" x14ac:dyDescent="0.2">
      <c r="B519" s="2" t="s">
        <v>519</v>
      </c>
      <c r="C519" s="3" t="str">
        <f t="shared" si="24"/>
        <v/>
      </c>
      <c r="D519" s="3" t="str">
        <f t="shared" si="25"/>
        <v>mod10-check-digit</v>
      </c>
      <c r="E519" s="3" t="str">
        <f t="shared" si="26"/>
        <v>v1.0.1</v>
      </c>
      <c r="F519" t="str">
        <f>IF(COUNTIFS('[1]25 November'!$E:$E,$D519)&gt;0, "NEW FINDING", IF(COUNTIFS('[1]20 September New Socket'!E:E,$D519)&gt;0,"PREVOUS REPORT","N/A"))</f>
        <v>N/A</v>
      </c>
    </row>
    <row r="520" spans="1:6" x14ac:dyDescent="0.2">
      <c r="A520" s="1">
        <v>45986</v>
      </c>
      <c r="B520" s="2" t="s">
        <v>520</v>
      </c>
      <c r="C520" s="3" t="str">
        <f t="shared" si="24"/>
        <v/>
      </c>
      <c r="D520" s="3" t="str">
        <f t="shared" si="25"/>
        <v>mon-package-react-typescript</v>
      </c>
      <c r="E520" s="3" t="str">
        <f t="shared" si="26"/>
        <v>v1.0.1</v>
      </c>
      <c r="F520" t="str">
        <f>IF(COUNTIFS('[1]25 November'!$E:$E,$D520)&gt;0, "NEW FINDING", IF(COUNTIFS('[1]20 September New Socket'!E:E,$D520)&gt;0,"PREVOUS REPORT","N/A"))</f>
        <v>NEW FINDING</v>
      </c>
    </row>
    <row r="521" spans="1:6" x14ac:dyDescent="0.2">
      <c r="B521" s="2" t="s">
        <v>521</v>
      </c>
      <c r="C521" s="3" t="str">
        <f t="shared" si="24"/>
        <v/>
      </c>
      <c r="D521" s="3" t="str">
        <f t="shared" si="25"/>
        <v>my-saeed-lib</v>
      </c>
      <c r="E521" s="3" t="str">
        <f t="shared" si="26"/>
        <v>v0.1.1</v>
      </c>
      <c r="F521" t="str">
        <f>IF(COUNTIFS('[1]25 November'!$E:$E,$D521)&gt;0, "NEW FINDING", IF(COUNTIFS('[1]20 September New Socket'!E:E,$D521)&gt;0,"PREVOUS REPORT","N/A"))</f>
        <v>N/A</v>
      </c>
    </row>
    <row r="522" spans="1:6" x14ac:dyDescent="0.2">
      <c r="A522" s="1">
        <v>45986</v>
      </c>
      <c r="B522" s="2" t="s">
        <v>522</v>
      </c>
      <c r="C522" s="3" t="str">
        <f t="shared" si="24"/>
        <v/>
      </c>
      <c r="D522" s="3" t="str">
        <f t="shared" si="25"/>
        <v>n8n-nodes-tmdb</v>
      </c>
      <c r="E522" s="3" t="str">
        <f t="shared" si="26"/>
        <v>v0.5.1</v>
      </c>
      <c r="F522" t="str">
        <f>IF(COUNTIFS('[1]25 November'!$E:$E,$D522)&gt;0, "NEW FINDING", IF(COUNTIFS('[1]20 September New Socket'!E:E,$D522)&gt;0,"PREVOUS REPORT","N/A"))</f>
        <v>NEW FINDING</v>
      </c>
    </row>
    <row r="523" spans="1:6" x14ac:dyDescent="0.2">
      <c r="B523" s="2" t="s">
        <v>523</v>
      </c>
      <c r="C523" s="3" t="str">
        <f t="shared" si="24"/>
        <v/>
      </c>
      <c r="D523" s="3" t="str">
        <f t="shared" si="25"/>
        <v>n8n-nodes-vercel-ai-sdk</v>
      </c>
      <c r="E523" s="3" t="str">
        <f t="shared" si="26"/>
        <v>v0.1.7</v>
      </c>
      <c r="F523" t="str">
        <f>IF(COUNTIFS('[1]25 November'!$E:$E,$D523)&gt;0, "NEW FINDING", IF(COUNTIFS('[1]20 September New Socket'!E:E,$D523)&gt;0,"PREVOUS REPORT","N/A"))</f>
        <v>N/A</v>
      </c>
    </row>
    <row r="524" spans="1:6" x14ac:dyDescent="0.2">
      <c r="A524" s="1">
        <v>45986</v>
      </c>
      <c r="B524" s="2" t="s">
        <v>524</v>
      </c>
      <c r="C524" s="3" t="str">
        <f t="shared" si="24"/>
        <v/>
      </c>
      <c r="D524" s="3" t="str">
        <f t="shared" si="25"/>
        <v>n8n-nodes-viral-app</v>
      </c>
      <c r="E524" s="3" t="str">
        <f t="shared" si="26"/>
        <v>v0.2.5</v>
      </c>
      <c r="F524" t="str">
        <f>IF(COUNTIFS('[1]25 November'!$E:$E,$D524)&gt;0, "NEW FINDING", IF(COUNTIFS('[1]20 September New Socket'!E:E,$D524)&gt;0,"PREVOUS REPORT","N/A"))</f>
        <v>NEW FINDING</v>
      </c>
    </row>
    <row r="525" spans="1:6" x14ac:dyDescent="0.2">
      <c r="B525" s="2" t="s">
        <v>525</v>
      </c>
      <c r="C525" s="3" t="str">
        <f t="shared" si="24"/>
        <v/>
      </c>
      <c r="D525" s="3" t="str">
        <f t="shared" si="25"/>
        <v>ngx-useful-swiper-prosenjit</v>
      </c>
      <c r="E525" s="3" t="str">
        <f t="shared" si="26"/>
        <v>v9.0.2</v>
      </c>
      <c r="F525" t="str">
        <f>IF(COUNTIFS('[1]25 November'!$E:$E,$D525)&gt;0, "NEW FINDING", IF(COUNTIFS('[1]20 September New Socket'!E:E,$D525)&gt;0,"PREVOUS REPORT","N/A"))</f>
        <v>N/A</v>
      </c>
    </row>
    <row r="526" spans="1:6" x14ac:dyDescent="0.2">
      <c r="B526" s="2" t="s">
        <v>526</v>
      </c>
      <c r="C526" s="3" t="str">
        <f t="shared" si="24"/>
        <v/>
      </c>
      <c r="D526" s="3" t="str">
        <f t="shared" si="25"/>
        <v>ngx-wooapi</v>
      </c>
      <c r="E526" s="3" t="str">
        <f t="shared" si="26"/>
        <v>v12.0.1</v>
      </c>
      <c r="F526" t="str">
        <f>IF(COUNTIFS('[1]25 November'!$E:$E,$D526)&gt;0, "NEW FINDING", IF(COUNTIFS('[1]20 September New Socket'!E:E,$D526)&gt;0,"PREVOUS REPORT","N/A"))</f>
        <v>N/A</v>
      </c>
    </row>
    <row r="527" spans="1:6" x14ac:dyDescent="0.2">
      <c r="B527" s="2" t="s">
        <v>527</v>
      </c>
      <c r="C527" s="3" t="str">
        <f t="shared" si="24"/>
        <v/>
      </c>
      <c r="D527" s="3" t="str">
        <f t="shared" si="25"/>
        <v>nitro-graphql</v>
      </c>
      <c r="E527" s="3" t="str">
        <f t="shared" si="26"/>
        <v>v1.5.12</v>
      </c>
      <c r="F527" t="str">
        <f>IF(COUNTIFS('[1]25 November'!$E:$E,$D527)&gt;0, "NEW FINDING", IF(COUNTIFS('[1]20 September New Socket'!E:E,$D527)&gt;0,"PREVOUS REPORT","N/A"))</f>
        <v>N/A</v>
      </c>
    </row>
    <row r="528" spans="1:6" x14ac:dyDescent="0.2">
      <c r="B528" s="2" t="s">
        <v>528</v>
      </c>
      <c r="C528" s="3" t="str">
        <f t="shared" si="24"/>
        <v/>
      </c>
      <c r="D528" s="3" t="str">
        <f t="shared" si="25"/>
        <v>nitro-kutu</v>
      </c>
      <c r="E528" s="3" t="str">
        <f t="shared" si="26"/>
        <v>v0.1.1</v>
      </c>
      <c r="F528" t="str">
        <f>IF(COUNTIFS('[1]25 November'!$E:$E,$D528)&gt;0, "NEW FINDING", IF(COUNTIFS('[1]20 September New Socket'!E:E,$D528)&gt;0,"PREVOUS REPORT","N/A"))</f>
        <v>N/A</v>
      </c>
    </row>
    <row r="529" spans="1:6" x14ac:dyDescent="0.2">
      <c r="B529" s="2" t="s">
        <v>529</v>
      </c>
      <c r="C529" s="3" t="str">
        <f t="shared" si="24"/>
        <v/>
      </c>
      <c r="D529" s="3" t="str">
        <f t="shared" si="25"/>
        <v>nitrodeploy</v>
      </c>
      <c r="E529" s="3" t="str">
        <f t="shared" si="26"/>
        <v>v1.0.8</v>
      </c>
      <c r="F529" t="str">
        <f>IF(COUNTIFS('[1]25 November'!$E:$E,$D529)&gt;0, "NEW FINDING", IF(COUNTIFS('[1]20 September New Socket'!E:E,$D529)&gt;0,"PREVOUS REPORT","N/A"))</f>
        <v>N/A</v>
      </c>
    </row>
    <row r="530" spans="1:6" x14ac:dyDescent="0.2">
      <c r="B530" s="2" t="s">
        <v>530</v>
      </c>
      <c r="C530" s="3" t="str">
        <f t="shared" si="24"/>
        <v/>
      </c>
      <c r="D530" s="3" t="str">
        <f t="shared" si="25"/>
        <v>nitroping</v>
      </c>
      <c r="E530" s="3" t="str">
        <f t="shared" si="26"/>
        <v>v0.1.1</v>
      </c>
      <c r="F530" t="str">
        <f>IF(COUNTIFS('[1]25 November'!$E:$E,$D530)&gt;0, "NEW FINDING", IF(COUNTIFS('[1]20 September New Socket'!E:E,$D530)&gt;0,"PREVOUS REPORT","N/A"))</f>
        <v>N/A</v>
      </c>
    </row>
    <row r="531" spans="1:6" x14ac:dyDescent="0.2">
      <c r="B531" s="2" t="s">
        <v>531</v>
      </c>
      <c r="C531" s="3" t="str">
        <f t="shared" si="24"/>
        <v/>
      </c>
      <c r="D531" s="3" t="str">
        <f t="shared" si="25"/>
        <v>nuxt-keycloak</v>
      </c>
      <c r="E531" s="3" t="str">
        <f t="shared" si="26"/>
        <v>v0.2.2</v>
      </c>
      <c r="F531" t="str">
        <f>IF(COUNTIFS('[1]25 November'!$E:$E,$D531)&gt;0, "NEW FINDING", IF(COUNTIFS('[1]20 September New Socket'!E:E,$D531)&gt;0,"PREVOUS REPORT","N/A"))</f>
        <v>N/A</v>
      </c>
    </row>
    <row r="532" spans="1:6" x14ac:dyDescent="0.2">
      <c r="A532" s="1">
        <v>45986</v>
      </c>
      <c r="B532" s="2" t="s">
        <v>532</v>
      </c>
      <c r="C532" s="3" t="str">
        <f t="shared" si="24"/>
        <v/>
      </c>
      <c r="D532" s="3" t="str">
        <f t="shared" si="25"/>
        <v>okta-react-router-6</v>
      </c>
      <c r="E532" s="3" t="str">
        <f t="shared" si="26"/>
        <v>v5.0.1</v>
      </c>
      <c r="F532" t="str">
        <f>IF(COUNTIFS('[1]25 November'!$E:$E,$D532)&gt;0, "NEW FINDING", IF(COUNTIFS('[1]20 September New Socket'!E:E,$D532)&gt;0,"PREVOUS REPORT","N/A"))</f>
        <v>NEW FINDING</v>
      </c>
    </row>
    <row r="533" spans="1:6" x14ac:dyDescent="0.2">
      <c r="A533" s="1">
        <v>45986</v>
      </c>
      <c r="B533" s="2" t="s">
        <v>533</v>
      </c>
      <c r="C533" s="3" t="str">
        <f t="shared" si="24"/>
        <v/>
      </c>
      <c r="D533" s="3" t="str">
        <f t="shared" si="25"/>
        <v>open2internet</v>
      </c>
      <c r="E533" s="3" t="str">
        <f t="shared" si="26"/>
        <v>v0.1.1</v>
      </c>
      <c r="F533" t="str">
        <f>IF(COUNTIFS('[1]25 November'!$E:$E,$D533)&gt;0, "NEW FINDING", IF(COUNTIFS('[1]20 September New Socket'!E:E,$D533)&gt;0,"PREVOUS REPORT","N/A"))</f>
        <v>NEW FINDING</v>
      </c>
    </row>
    <row r="534" spans="1:6" x14ac:dyDescent="0.2">
      <c r="A534" s="1">
        <v>45986</v>
      </c>
      <c r="B534" s="2" t="s">
        <v>534</v>
      </c>
      <c r="C534" s="3" t="str">
        <f t="shared" si="24"/>
        <v/>
      </c>
      <c r="D534" s="3" t="str">
        <f t="shared" si="25"/>
        <v>orbit-boxicons</v>
      </c>
      <c r="E534" s="3" t="str">
        <f t="shared" si="26"/>
        <v>v2.1.3</v>
      </c>
      <c r="F534" t="str">
        <f>IF(COUNTIFS('[1]25 November'!$E:$E,$D534)&gt;0, "NEW FINDING", IF(COUNTIFS('[1]20 September New Socket'!E:E,$D534)&gt;0,"PREVOUS REPORT","N/A"))</f>
        <v>NEW FINDING</v>
      </c>
    </row>
    <row r="535" spans="1:6" x14ac:dyDescent="0.2">
      <c r="A535" s="1">
        <v>45986</v>
      </c>
      <c r="B535" s="2" t="s">
        <v>535</v>
      </c>
      <c r="C535" s="3" t="str">
        <f t="shared" si="24"/>
        <v/>
      </c>
      <c r="D535" s="3" t="str">
        <f t="shared" si="25"/>
        <v>orbit-nebula-draw-tools</v>
      </c>
      <c r="E535" s="3" t="str">
        <f t="shared" si="26"/>
        <v>v1.0.10</v>
      </c>
      <c r="F535" t="str">
        <f>IF(COUNTIFS('[1]25 November'!$E:$E,$D535)&gt;0, "NEW FINDING", IF(COUNTIFS('[1]20 September New Socket'!E:E,$D535)&gt;0,"PREVOUS REPORT","N/A"))</f>
        <v>NEW FINDING</v>
      </c>
    </row>
    <row r="536" spans="1:6" x14ac:dyDescent="0.2">
      <c r="A536" s="1">
        <v>45986</v>
      </c>
      <c r="B536" s="2" t="s">
        <v>536</v>
      </c>
      <c r="C536" s="3" t="str">
        <f t="shared" si="24"/>
        <v/>
      </c>
      <c r="D536" s="3" t="str">
        <f t="shared" si="25"/>
        <v>orbit-nebula-editor</v>
      </c>
      <c r="E536" s="3" t="str">
        <f t="shared" si="26"/>
        <v>v1.0.2</v>
      </c>
      <c r="F536" t="str">
        <f>IF(COUNTIFS('[1]25 November'!$E:$E,$D536)&gt;0, "NEW FINDING", IF(COUNTIFS('[1]20 September New Socket'!E:E,$D536)&gt;0,"PREVOUS REPORT","N/A"))</f>
        <v>NEW FINDING</v>
      </c>
    </row>
    <row r="537" spans="1:6" x14ac:dyDescent="0.2">
      <c r="A537" s="1">
        <v>45986</v>
      </c>
      <c r="B537" s="2" t="s">
        <v>537</v>
      </c>
      <c r="C537" s="3" t="str">
        <f t="shared" si="24"/>
        <v/>
      </c>
      <c r="D537" s="3" t="str">
        <f t="shared" si="25"/>
        <v>orbit-soap</v>
      </c>
      <c r="E537" s="3" t="str">
        <f t="shared" si="26"/>
        <v>v0.43.13</v>
      </c>
      <c r="F537" t="str">
        <f>IF(COUNTIFS('[1]25 November'!$E:$E,$D537)&gt;0, "NEW FINDING", IF(COUNTIFS('[1]20 September New Socket'!E:E,$D537)&gt;0,"PREVOUS REPORT","N/A"))</f>
        <v>NEW FINDING</v>
      </c>
    </row>
    <row r="538" spans="1:6" x14ac:dyDescent="0.2">
      <c r="B538" s="2" t="s">
        <v>538</v>
      </c>
      <c r="C538" s="3" t="str">
        <f t="shared" si="24"/>
        <v/>
      </c>
      <c r="D538" s="3" t="str">
        <f t="shared" si="25"/>
        <v>orchestrix</v>
      </c>
      <c r="E538" s="3" t="str">
        <f t="shared" si="26"/>
        <v>v12.1.2</v>
      </c>
      <c r="F538" t="str">
        <f>IF(COUNTIFS('[1]25 November'!$E:$E,$D538)&gt;0, "NEW FINDING", IF(COUNTIFS('[1]20 September New Socket'!E:E,$D538)&gt;0,"PREVOUS REPORT","N/A"))</f>
        <v>N/A</v>
      </c>
    </row>
    <row r="539" spans="1:6" x14ac:dyDescent="0.2">
      <c r="B539" s="2" t="s">
        <v>539</v>
      </c>
      <c r="C539" s="3" t="str">
        <f t="shared" si="24"/>
        <v/>
      </c>
      <c r="D539" s="3" t="str">
        <f t="shared" si="25"/>
        <v>package-tester</v>
      </c>
      <c r="E539" s="3" t="str">
        <f t="shared" si="26"/>
        <v>v1.0.1</v>
      </c>
      <c r="F539" t="str">
        <f>IF(COUNTIFS('[1]25 November'!$E:$E,$D539)&gt;0, "NEW FINDING", IF(COUNTIFS('[1]20 September New Socket'!E:E,$D539)&gt;0,"PREVOUS REPORT","N/A"))</f>
        <v>N/A</v>
      </c>
    </row>
    <row r="540" spans="1:6" x14ac:dyDescent="0.2">
      <c r="B540" s="2" t="s">
        <v>540</v>
      </c>
      <c r="C540" s="3" t="str">
        <f t="shared" si="24"/>
        <v/>
      </c>
      <c r="D540" s="3" t="str">
        <f t="shared" si="25"/>
        <v>pdf-annotation</v>
      </c>
      <c r="E540" s="3" t="str">
        <f t="shared" si="26"/>
        <v>v0.0.2</v>
      </c>
      <c r="F540" t="str">
        <f>IF(COUNTIFS('[1]25 November'!$E:$E,$D540)&gt;0, "NEW FINDING", IF(COUNTIFS('[1]20 September New Socket'!E:E,$D540)&gt;0,"PREVOUS REPORT","N/A"))</f>
        <v>N/A</v>
      </c>
    </row>
    <row r="541" spans="1:6" x14ac:dyDescent="0.2">
      <c r="B541" s="2" t="s">
        <v>541</v>
      </c>
      <c r="C541" s="3" t="str">
        <f t="shared" si="24"/>
        <v/>
      </c>
      <c r="D541" s="3" t="str">
        <f t="shared" si="25"/>
        <v>pergel</v>
      </c>
      <c r="E541" s="3" t="str">
        <f t="shared" si="26"/>
        <v>v0.13.2</v>
      </c>
      <c r="F541" t="str">
        <f>IF(COUNTIFS('[1]25 November'!$E:$E,$D541)&gt;0, "NEW FINDING", IF(COUNTIFS('[1]20 September New Socket'!E:E,$D541)&gt;0,"PREVOUS REPORT","N/A"))</f>
        <v>N/A</v>
      </c>
    </row>
    <row r="542" spans="1:6" x14ac:dyDescent="0.2">
      <c r="B542" s="2" t="s">
        <v>542</v>
      </c>
      <c r="C542" s="3" t="str">
        <f t="shared" si="24"/>
        <v/>
      </c>
      <c r="D542" s="3" t="str">
        <f t="shared" si="25"/>
        <v>pergeltest</v>
      </c>
      <c r="E542" s="3" t="str">
        <f t="shared" si="26"/>
        <v>v0.0.25</v>
      </c>
      <c r="F542" t="str">
        <f>IF(COUNTIFS('[1]25 November'!$E:$E,$D542)&gt;0, "NEW FINDING", IF(COUNTIFS('[1]20 September New Socket'!E:E,$D542)&gt;0,"PREVOUS REPORT","N/A"))</f>
        <v>N/A</v>
      </c>
    </row>
    <row r="543" spans="1:6" x14ac:dyDescent="0.2">
      <c r="A543" s="1">
        <v>45986</v>
      </c>
      <c r="B543" s="2" t="s">
        <v>543</v>
      </c>
      <c r="C543" s="3" t="str">
        <f t="shared" si="24"/>
        <v/>
      </c>
      <c r="D543" s="3" t="str">
        <f t="shared" si="25"/>
        <v>piclite</v>
      </c>
      <c r="E543" s="3" t="str">
        <f t="shared" si="26"/>
        <v>v1.0.1</v>
      </c>
      <c r="F543" t="str">
        <f>IF(COUNTIFS('[1]25 November'!$E:$E,$D543)&gt;0, "NEW FINDING", IF(COUNTIFS('[1]20 September New Socket'!E:E,$D543)&gt;0,"PREVOUS REPORT","N/A"))</f>
        <v>NEW FINDING</v>
      </c>
    </row>
    <row r="544" spans="1:6" x14ac:dyDescent="0.2">
      <c r="B544" s="2" t="s">
        <v>544</v>
      </c>
      <c r="C544" s="3" t="str">
        <f t="shared" si="24"/>
        <v/>
      </c>
      <c r="D544" s="3" t="str">
        <f t="shared" si="25"/>
        <v>pkg-readme</v>
      </c>
      <c r="E544" s="3" t="str">
        <f t="shared" si="26"/>
        <v>v1.1.1</v>
      </c>
      <c r="F544" t="str">
        <f>IF(COUNTIFS('[1]25 November'!$E:$E,$D544)&gt;0, "NEW FINDING", IF(COUNTIFS('[1]20 September New Socket'!E:E,$D544)&gt;0,"PREVOUS REPORT","N/A"))</f>
        <v>N/A</v>
      </c>
    </row>
    <row r="545" spans="1:6" x14ac:dyDescent="0.2">
      <c r="A545" s="1">
        <v>45986</v>
      </c>
      <c r="B545" s="2" t="s">
        <v>545</v>
      </c>
      <c r="C545" s="3" t="str">
        <f t="shared" si="24"/>
        <v/>
      </c>
      <c r="D545" s="3" t="str">
        <f t="shared" si="25"/>
        <v>poper-react-sdk</v>
      </c>
      <c r="E545" s="3" t="str">
        <f t="shared" si="26"/>
        <v>v0.1.2</v>
      </c>
      <c r="F545" t="str">
        <f>IF(COUNTIFS('[1]25 November'!$E:$E,$D545)&gt;0, "NEW FINDING", IF(COUNTIFS('[1]20 September New Socket'!E:E,$D545)&gt;0,"PREVOUS REPORT","N/A"))</f>
        <v>NEW FINDING</v>
      </c>
    </row>
    <row r="546" spans="1:6" x14ac:dyDescent="0.2">
      <c r="A546" s="1">
        <v>45986</v>
      </c>
      <c r="B546" s="2" t="s">
        <v>546</v>
      </c>
      <c r="C546" s="3" t="str">
        <f t="shared" si="24"/>
        <v/>
      </c>
      <c r="D546" s="3" t="str">
        <f t="shared" si="25"/>
        <v>posthog-docusaurus</v>
      </c>
      <c r="E546" s="3" t="str">
        <f t="shared" si="26"/>
        <v>v2.0.6</v>
      </c>
      <c r="F546" t="str">
        <f>IF(COUNTIFS('[1]25 November'!$E:$E,$D546)&gt;0, "NEW FINDING", IF(COUNTIFS('[1]20 September New Socket'!E:E,$D546)&gt;0,"PREVOUS REPORT","N/A"))</f>
        <v>NEW FINDING</v>
      </c>
    </row>
    <row r="547" spans="1:6" x14ac:dyDescent="0.2">
      <c r="A547" s="1">
        <v>45986</v>
      </c>
      <c r="B547" s="2" t="s">
        <v>547</v>
      </c>
      <c r="C547" s="3" t="str">
        <f t="shared" si="24"/>
        <v/>
      </c>
      <c r="D547" s="3" t="str">
        <f t="shared" si="25"/>
        <v>posthog-js</v>
      </c>
      <c r="E547" s="3" t="str">
        <f t="shared" si="26"/>
        <v>v1.297.3</v>
      </c>
      <c r="F547" t="str">
        <f>IF(COUNTIFS('[1]25 November'!$E:$E,$D547)&gt;0, "NEW FINDING", IF(COUNTIFS('[1]20 September New Socket'!E:E,$D547)&gt;0,"PREVOUS REPORT","N/A"))</f>
        <v>NEW FINDING</v>
      </c>
    </row>
    <row r="548" spans="1:6" x14ac:dyDescent="0.2">
      <c r="A548" s="1">
        <v>45986</v>
      </c>
      <c r="B548" s="2" t="s">
        <v>548</v>
      </c>
      <c r="C548" s="3" t="str">
        <f t="shared" si="24"/>
        <v/>
      </c>
      <c r="D548" s="3" t="str">
        <f t="shared" si="25"/>
        <v>posthog-node</v>
      </c>
      <c r="E548" s="3" t="str">
        <f t="shared" si="26"/>
        <v>v4.18.1 - Java/Maven</v>
      </c>
      <c r="F548" t="str">
        <f>IF(COUNTIFS('[1]25 November'!$E:$E,$D548)&gt;0, "NEW FINDING", IF(COUNTIFS('[1]20 September New Socket'!E:E,$D548)&gt;0,"PREVOUS REPORT","N/A"))</f>
        <v>NEW FINDING</v>
      </c>
    </row>
    <row r="549" spans="1:6" x14ac:dyDescent="0.2">
      <c r="A549" s="1">
        <v>45986</v>
      </c>
      <c r="B549" s="2" t="s">
        <v>549</v>
      </c>
      <c r="C549" s="3" t="str">
        <f t="shared" si="24"/>
        <v/>
      </c>
      <c r="D549" s="3" t="str">
        <f t="shared" si="25"/>
        <v>posthog-plugin-hello-world</v>
      </c>
      <c r="E549" s="3" t="str">
        <f t="shared" si="26"/>
        <v>v1.0.1</v>
      </c>
      <c r="F549" t="str">
        <f>IF(COUNTIFS('[1]25 November'!$E:$E,$D549)&gt;0, "NEW FINDING", IF(COUNTIFS('[1]20 September New Socket'!E:E,$D549)&gt;0,"PREVOUS REPORT","N/A"))</f>
        <v>NEW FINDING</v>
      </c>
    </row>
    <row r="550" spans="1:6" x14ac:dyDescent="0.2">
      <c r="B550" s="2" t="s">
        <v>550</v>
      </c>
      <c r="C550" s="3" t="str">
        <f t="shared" si="24"/>
        <v/>
      </c>
      <c r="D550" s="3" t="str">
        <f t="shared" si="25"/>
        <v>prime-one-table</v>
      </c>
      <c r="E550" s="3" t="str">
        <f t="shared" si="26"/>
        <v>v0.0.19</v>
      </c>
      <c r="F550" t="str">
        <f>IF(COUNTIFS('[1]25 November'!$E:$E,$D550)&gt;0, "NEW FINDING", IF(COUNTIFS('[1]20 September New Socket'!E:E,$D550)&gt;0,"PREVOUS REPORT","N/A"))</f>
        <v>N/A</v>
      </c>
    </row>
    <row r="551" spans="1:6" x14ac:dyDescent="0.2">
      <c r="B551" s="2" t="s">
        <v>551</v>
      </c>
      <c r="C551" s="3" t="str">
        <f t="shared" si="24"/>
        <v/>
      </c>
      <c r="D551" s="3" t="str">
        <f t="shared" si="25"/>
        <v>prompt-eng</v>
      </c>
      <c r="E551" s="3" t="str">
        <f t="shared" si="26"/>
        <v>v1.0.50</v>
      </c>
      <c r="F551" t="str">
        <f>IF(COUNTIFS('[1]25 November'!$E:$E,$D551)&gt;0, "NEW FINDING", IF(COUNTIFS('[1]20 September New Socket'!E:E,$D551)&gt;0,"PREVOUS REPORT","N/A"))</f>
        <v>N/A</v>
      </c>
    </row>
    <row r="552" spans="1:6" x14ac:dyDescent="0.2">
      <c r="B552" s="2" t="s">
        <v>552</v>
      </c>
      <c r="C552" s="3" t="str">
        <f t="shared" si="24"/>
        <v/>
      </c>
      <c r="D552" s="3" t="str">
        <f t="shared" si="25"/>
        <v>prompt-eng-server</v>
      </c>
      <c r="E552" s="3" t="str">
        <f t="shared" si="26"/>
        <v>v1.0.18</v>
      </c>
      <c r="F552" t="str">
        <f>IF(COUNTIFS('[1]25 November'!$E:$E,$D552)&gt;0, "NEW FINDING", IF(COUNTIFS('[1]20 September New Socket'!E:E,$D552)&gt;0,"PREVOUS REPORT","N/A"))</f>
        <v>N/A</v>
      </c>
    </row>
    <row r="553" spans="1:6" x14ac:dyDescent="0.2">
      <c r="B553" s="2" t="s">
        <v>553</v>
      </c>
      <c r="C553" s="3" t="str">
        <f t="shared" si="24"/>
        <v/>
      </c>
      <c r="D553" s="3" t="str">
        <f t="shared" si="25"/>
        <v>puny-req</v>
      </c>
      <c r="E553" s="3" t="str">
        <f t="shared" si="26"/>
        <v>v1.0.3</v>
      </c>
      <c r="F553" t="str">
        <f>IF(COUNTIFS('[1]25 November'!$E:$E,$D553)&gt;0, "NEW FINDING", IF(COUNTIFS('[1]20 September New Socket'!E:E,$D553)&gt;0,"PREVOUS REPORT","N/A"))</f>
        <v>N/A</v>
      </c>
    </row>
    <row r="554" spans="1:6" x14ac:dyDescent="0.2">
      <c r="B554" s="2" t="s">
        <v>554</v>
      </c>
      <c r="C554" s="3" t="str">
        <f t="shared" si="24"/>
        <v/>
      </c>
      <c r="D554" s="3" t="str">
        <f t="shared" si="25"/>
        <v>quickswap-default-staking-list</v>
      </c>
      <c r="E554" s="3" t="str">
        <f t="shared" si="26"/>
        <v>v1.0.11</v>
      </c>
      <c r="F554" t="str">
        <f>IF(COUNTIFS('[1]25 November'!$E:$E,$D554)&gt;0, "NEW FINDING", IF(COUNTIFS('[1]20 September New Socket'!E:E,$D554)&gt;0,"PREVOUS REPORT","N/A"))</f>
        <v>N/A</v>
      </c>
    </row>
    <row r="555" spans="1:6" x14ac:dyDescent="0.2">
      <c r="B555" s="2" t="s">
        <v>555</v>
      </c>
      <c r="C555" s="3" t="str">
        <f t="shared" si="24"/>
        <v/>
      </c>
      <c r="D555" s="3" t="str">
        <f t="shared" si="25"/>
        <v>quickswap-default-staking-list-address</v>
      </c>
      <c r="E555" s="3" t="str">
        <f t="shared" si="26"/>
        <v>v1.0.55</v>
      </c>
      <c r="F555" t="str">
        <f>IF(COUNTIFS('[1]25 November'!$E:$E,$D555)&gt;0, "NEW FINDING", IF(COUNTIFS('[1]20 September New Socket'!E:E,$D555)&gt;0,"PREVOUS REPORT","N/A"))</f>
        <v>N/A</v>
      </c>
    </row>
    <row r="556" spans="1:6" x14ac:dyDescent="0.2">
      <c r="B556" s="2" t="s">
        <v>556</v>
      </c>
      <c r="C556" s="3" t="str">
        <f t="shared" si="24"/>
        <v/>
      </c>
      <c r="D556" s="3" t="str">
        <f t="shared" si="25"/>
        <v>quickswap-default-token-list</v>
      </c>
      <c r="E556" s="3" t="str">
        <f t="shared" si="26"/>
        <v>v1.5.16</v>
      </c>
      <c r="F556" t="str">
        <f>IF(COUNTIFS('[1]25 November'!$E:$E,$D556)&gt;0, "NEW FINDING", IF(COUNTIFS('[1]20 September New Socket'!E:E,$D556)&gt;0,"PREVOUS REPORT","N/A"))</f>
        <v>N/A</v>
      </c>
    </row>
    <row r="557" spans="1:6" x14ac:dyDescent="0.2">
      <c r="B557" s="2" t="s">
        <v>557</v>
      </c>
      <c r="C557" s="3" t="str">
        <f t="shared" si="24"/>
        <v/>
      </c>
      <c r="D557" s="3" t="str">
        <f t="shared" si="25"/>
        <v>quickswap-router-sdk</v>
      </c>
      <c r="E557" s="3" t="str">
        <f t="shared" si="26"/>
        <v>v1.0.1</v>
      </c>
      <c r="F557" t="str">
        <f>IF(COUNTIFS('[1]25 November'!$E:$E,$D557)&gt;0, "NEW FINDING", IF(COUNTIFS('[1]20 September New Socket'!E:E,$D557)&gt;0,"PREVOUS REPORT","N/A"))</f>
        <v>N/A</v>
      </c>
    </row>
    <row r="558" spans="1:6" x14ac:dyDescent="0.2">
      <c r="B558" s="2" t="s">
        <v>558</v>
      </c>
      <c r="C558" s="3" t="str">
        <f t="shared" si="24"/>
        <v/>
      </c>
      <c r="D558" s="3" t="str">
        <f t="shared" si="25"/>
        <v>quickswap-sdk</v>
      </c>
      <c r="E558" s="3" t="str">
        <f t="shared" si="26"/>
        <v>v3.0.44</v>
      </c>
      <c r="F558" t="str">
        <f>IF(COUNTIFS('[1]25 November'!$E:$E,$D558)&gt;0, "NEW FINDING", IF(COUNTIFS('[1]20 September New Socket'!E:E,$D558)&gt;0,"PREVOUS REPORT","N/A"))</f>
        <v>N/A</v>
      </c>
    </row>
    <row r="559" spans="1:6" x14ac:dyDescent="0.2">
      <c r="B559" s="2" t="s">
        <v>559</v>
      </c>
      <c r="C559" s="3" t="str">
        <f t="shared" si="24"/>
        <v/>
      </c>
      <c r="D559" s="3" t="str">
        <f t="shared" si="25"/>
        <v>quickswap-smart-order-router</v>
      </c>
      <c r="E559" s="3" t="str">
        <f t="shared" si="26"/>
        <v>v1.0.1</v>
      </c>
      <c r="F559" t="str">
        <f>IF(COUNTIFS('[1]25 November'!$E:$E,$D559)&gt;0, "NEW FINDING", IF(COUNTIFS('[1]20 September New Socket'!E:E,$D559)&gt;0,"PREVOUS REPORT","N/A"))</f>
        <v>N/A</v>
      </c>
    </row>
    <row r="560" spans="1:6" x14ac:dyDescent="0.2">
      <c r="B560" s="2" t="s">
        <v>560</v>
      </c>
      <c r="C560" s="3" t="str">
        <f t="shared" si="24"/>
        <v/>
      </c>
      <c r="D560" s="3" t="str">
        <f t="shared" si="25"/>
        <v>quickswap-token-lists</v>
      </c>
      <c r="E560" s="3" t="str">
        <f t="shared" si="26"/>
        <v>v1.0.3</v>
      </c>
      <c r="F560" t="str">
        <f>IF(COUNTIFS('[1]25 November'!$E:$E,$D560)&gt;0, "NEW FINDING", IF(COUNTIFS('[1]20 September New Socket'!E:E,$D560)&gt;0,"PREVOUS REPORT","N/A"))</f>
        <v>N/A</v>
      </c>
    </row>
    <row r="561" spans="1:6" x14ac:dyDescent="0.2">
      <c r="B561" s="2" t="s">
        <v>561</v>
      </c>
      <c r="C561" s="3" t="str">
        <f t="shared" si="24"/>
        <v/>
      </c>
      <c r="D561" s="3" t="str">
        <f t="shared" si="25"/>
        <v>quickswap-v2-sdk</v>
      </c>
      <c r="E561" s="3" t="str">
        <f t="shared" si="26"/>
        <v>v2.0.1</v>
      </c>
      <c r="F561" t="str">
        <f>IF(COUNTIFS('[1]25 November'!$E:$E,$D561)&gt;0, "NEW FINDING", IF(COUNTIFS('[1]20 September New Socket'!E:E,$D561)&gt;0,"PREVOUS REPORT","N/A"))</f>
        <v>N/A</v>
      </c>
    </row>
    <row r="562" spans="1:6" x14ac:dyDescent="0.2">
      <c r="B562" s="2" t="s">
        <v>562</v>
      </c>
      <c r="C562" s="3" t="str">
        <f t="shared" si="24"/>
        <v/>
      </c>
      <c r="D562" s="3" t="str">
        <f t="shared" si="25"/>
        <v>ra-auth-firebase</v>
      </c>
      <c r="E562" s="3" t="str">
        <f t="shared" si="26"/>
        <v>v1.0.3</v>
      </c>
      <c r="F562" t="str">
        <f>IF(COUNTIFS('[1]25 November'!$E:$E,$D562)&gt;0, "NEW FINDING", IF(COUNTIFS('[1]20 September New Socket'!E:E,$D562)&gt;0,"PREVOUS REPORT","N/A"))</f>
        <v>N/A</v>
      </c>
    </row>
    <row r="563" spans="1:6" x14ac:dyDescent="0.2">
      <c r="A563" s="1">
        <v>45986</v>
      </c>
      <c r="B563" s="2" t="s">
        <v>563</v>
      </c>
      <c r="C563" s="3" t="str">
        <f t="shared" si="24"/>
        <v/>
      </c>
      <c r="D563" s="3" t="str">
        <f t="shared" si="25"/>
        <v>react-component-taggers</v>
      </c>
      <c r="E563" s="3" t="str">
        <f t="shared" si="26"/>
        <v>v0.1.9</v>
      </c>
      <c r="F563" t="str">
        <f>IF(COUNTIFS('[1]25 November'!$E:$E,$D563)&gt;0, "NEW FINDING", IF(COUNTIFS('[1]20 September New Socket'!E:E,$D563)&gt;0,"PREVOUS REPORT","N/A"))</f>
        <v>NEW FINDING</v>
      </c>
    </row>
    <row r="564" spans="1:6" x14ac:dyDescent="0.2">
      <c r="B564" s="2" t="s">
        <v>564</v>
      </c>
      <c r="C564" s="3" t="str">
        <f t="shared" si="24"/>
        <v/>
      </c>
      <c r="D564" s="3" t="str">
        <f t="shared" si="25"/>
        <v>react-data-to-export</v>
      </c>
      <c r="E564" s="3" t="str">
        <f t="shared" si="26"/>
        <v>v1.0.1</v>
      </c>
      <c r="F564" t="str">
        <f>IF(COUNTIFS('[1]25 November'!$E:$E,$D564)&gt;0, "NEW FINDING", IF(COUNTIFS('[1]20 September New Socket'!E:E,$D564)&gt;0,"PREVOUS REPORT","N/A"))</f>
        <v>N/A</v>
      </c>
    </row>
    <row r="565" spans="1:6" x14ac:dyDescent="0.2">
      <c r="A565" s="1">
        <v>45986</v>
      </c>
      <c r="B565" s="2" t="s">
        <v>565</v>
      </c>
      <c r="C565" s="3" t="str">
        <f t="shared" si="24"/>
        <v/>
      </c>
      <c r="D565" s="3" t="str">
        <f t="shared" si="25"/>
        <v>react-element-prompt-inspector</v>
      </c>
      <c r="E565" s="3" t="str">
        <f t="shared" si="26"/>
        <v>v0.1.18</v>
      </c>
      <c r="F565" t="str">
        <f>IF(COUNTIFS('[1]25 November'!$E:$E,$D565)&gt;0, "NEW FINDING", IF(COUNTIFS('[1]20 September New Socket'!E:E,$D565)&gt;0,"PREVOUS REPORT","N/A"))</f>
        <v>NEW FINDING</v>
      </c>
    </row>
    <row r="566" spans="1:6" x14ac:dyDescent="0.2">
      <c r="B566" s="2" t="s">
        <v>566</v>
      </c>
      <c r="C566" s="3" t="str">
        <f t="shared" si="24"/>
        <v/>
      </c>
      <c r="D566" s="3" t="str">
        <f t="shared" si="25"/>
        <v>react-favic</v>
      </c>
      <c r="E566" s="3" t="str">
        <f t="shared" si="26"/>
        <v>v1.0.2</v>
      </c>
      <c r="F566" t="str">
        <f>IF(COUNTIFS('[1]25 November'!$E:$E,$D566)&gt;0, "NEW FINDING", IF(COUNTIFS('[1]20 September New Socket'!E:E,$D566)&gt;0,"PREVOUS REPORT","N/A"))</f>
        <v>N/A</v>
      </c>
    </row>
    <row r="567" spans="1:6" x14ac:dyDescent="0.2">
      <c r="A567" s="1">
        <v>45986</v>
      </c>
      <c r="B567" s="2" t="s">
        <v>567</v>
      </c>
      <c r="C567" s="3" t="str">
        <f t="shared" si="24"/>
        <v/>
      </c>
      <c r="D567" s="3" t="str">
        <f t="shared" si="25"/>
        <v>react-library-setup</v>
      </c>
      <c r="E567" s="3" t="str">
        <f t="shared" si="26"/>
        <v>v0.0.6</v>
      </c>
      <c r="F567" t="str">
        <f>IF(COUNTIFS('[1]25 November'!$E:$E,$D567)&gt;0, "NEW FINDING", IF(COUNTIFS('[1]20 September New Socket'!E:E,$D567)&gt;0,"PREVOUS REPORT","N/A"))</f>
        <v>NEW FINDING</v>
      </c>
    </row>
    <row r="568" spans="1:6" x14ac:dyDescent="0.2">
      <c r="B568" s="2" t="s">
        <v>568</v>
      </c>
      <c r="C568" s="3" t="str">
        <f t="shared" si="24"/>
        <v/>
      </c>
      <c r="D568" s="3" t="str">
        <f t="shared" si="25"/>
        <v>react-linear-loader</v>
      </c>
      <c r="E568" s="3" t="str">
        <f t="shared" si="26"/>
        <v>v1.0.2</v>
      </c>
      <c r="F568" t="str">
        <f>IF(COUNTIFS('[1]25 November'!$E:$E,$D568)&gt;0, "NEW FINDING", IF(COUNTIFS('[1]20 September New Socket'!E:E,$D568)&gt;0,"PREVOUS REPORT","N/A"))</f>
        <v>N/A</v>
      </c>
    </row>
    <row r="569" spans="1:6" x14ac:dyDescent="0.2">
      <c r="B569" s="2" t="s">
        <v>569</v>
      </c>
      <c r="C569" s="3" t="str">
        <f t="shared" si="24"/>
        <v/>
      </c>
      <c r="D569" s="3" t="str">
        <f t="shared" si="25"/>
        <v>react-native-google-maps-directions</v>
      </c>
      <c r="E569" s="3" t="str">
        <f t="shared" si="26"/>
        <v>v2.1.2</v>
      </c>
      <c r="F569" t="str">
        <f>IF(COUNTIFS('[1]25 November'!$E:$E,$D569)&gt;0, "NEW FINDING", IF(COUNTIFS('[1]20 September New Socket'!E:E,$D569)&gt;0,"PREVOUS REPORT","N/A"))</f>
        <v>N/A</v>
      </c>
    </row>
    <row r="570" spans="1:6" x14ac:dyDescent="0.2">
      <c r="B570" s="2" t="s">
        <v>570</v>
      </c>
      <c r="C570" s="3" t="str">
        <f t="shared" si="24"/>
        <v/>
      </c>
      <c r="D570" s="3" t="str">
        <f t="shared" si="25"/>
        <v>react-native-modest-checkbox</v>
      </c>
      <c r="E570" s="3" t="str">
        <f t="shared" si="26"/>
        <v>v3.3.1</v>
      </c>
      <c r="F570" t="str">
        <f>IF(COUNTIFS('[1]25 November'!$E:$E,$D570)&gt;0, "NEW FINDING", IF(COUNTIFS('[1]20 September New Socket'!E:E,$D570)&gt;0,"PREVOUS REPORT","N/A"))</f>
        <v>N/A</v>
      </c>
    </row>
    <row r="571" spans="1:6" x14ac:dyDescent="0.2">
      <c r="B571" s="2" t="s">
        <v>571</v>
      </c>
      <c r="C571" s="3" t="str">
        <f t="shared" si="24"/>
        <v/>
      </c>
      <c r="D571" s="3" t="str">
        <f t="shared" si="25"/>
        <v>react-native-modest-storage</v>
      </c>
      <c r="E571" s="3" t="str">
        <f t="shared" si="26"/>
        <v>v2.1.1</v>
      </c>
      <c r="F571" t="str">
        <f>IF(COUNTIFS('[1]25 November'!$E:$E,$D571)&gt;0, "NEW FINDING", IF(COUNTIFS('[1]20 September New Socket'!E:E,$D571)&gt;0,"PREVOUS REPORT","N/A"))</f>
        <v>N/A</v>
      </c>
    </row>
    <row r="572" spans="1:6" x14ac:dyDescent="0.2">
      <c r="A572" s="1">
        <v>45986</v>
      </c>
      <c r="B572" s="2" t="s">
        <v>572</v>
      </c>
      <c r="C572" s="3" t="str">
        <f t="shared" si="24"/>
        <v/>
      </c>
      <c r="D572" s="3" t="str">
        <f t="shared" si="25"/>
        <v>react-native-use-modal</v>
      </c>
      <c r="E572" s="3" t="str">
        <f t="shared" si="26"/>
        <v>v1.0.3</v>
      </c>
      <c r="F572" t="str">
        <f>IF(COUNTIFS('[1]25 November'!$E:$E,$D572)&gt;0, "NEW FINDING", IF(COUNTIFS('[1]20 September New Socket'!E:E,$D572)&gt;0,"PREVOUS REPORT","N/A"))</f>
        <v>NEW FINDING</v>
      </c>
    </row>
    <row r="573" spans="1:6" x14ac:dyDescent="0.2">
      <c r="A573" s="1">
        <v>45986</v>
      </c>
      <c r="B573" s="2" t="s">
        <v>573</v>
      </c>
      <c r="C573" s="3" t="str">
        <f t="shared" si="24"/>
        <v/>
      </c>
      <c r="D573" s="3" t="str">
        <f t="shared" si="25"/>
        <v>react-native-worklet-functions</v>
      </c>
      <c r="E573" s="3" t="str">
        <f t="shared" si="26"/>
        <v>v3.3.3</v>
      </c>
      <c r="F573" t="str">
        <f>IF(COUNTIFS('[1]25 November'!$E:$E,$D573)&gt;0, "NEW FINDING", IF(COUNTIFS('[1]20 September New Socket'!E:E,$D573)&gt;0,"PREVOUS REPORT","N/A"))</f>
        <v>NEW FINDING</v>
      </c>
    </row>
    <row r="574" spans="1:6" x14ac:dyDescent="0.2">
      <c r="B574" s="2" t="s">
        <v>574</v>
      </c>
      <c r="C574" s="3" t="str">
        <f t="shared" si="24"/>
        <v/>
      </c>
      <c r="D574" s="3" t="str">
        <f t="shared" si="25"/>
        <v>react-packery-component</v>
      </c>
      <c r="E574" s="3" t="str">
        <f t="shared" si="26"/>
        <v>v1.0.3</v>
      </c>
      <c r="F574" t="str">
        <f>IF(COUNTIFS('[1]25 November'!$E:$E,$D574)&gt;0, "NEW FINDING", IF(COUNTIFS('[1]20 September New Socket'!E:E,$D574)&gt;0,"PREVOUS REPORT","N/A"))</f>
        <v>N/A</v>
      </c>
    </row>
    <row r="575" spans="1:6" x14ac:dyDescent="0.2">
      <c r="A575" s="1">
        <v>45986</v>
      </c>
      <c r="B575" s="2" t="s">
        <v>575</v>
      </c>
      <c r="C575" s="3" t="str">
        <f t="shared" si="24"/>
        <v/>
      </c>
      <c r="D575" s="3" t="str">
        <f t="shared" si="25"/>
        <v>react-qr-image</v>
      </c>
      <c r="E575" s="3" t="str">
        <f t="shared" si="26"/>
        <v>v1.1.1</v>
      </c>
      <c r="F575" t="str">
        <f>IF(COUNTIFS('[1]25 November'!$E:$E,$D575)&gt;0, "NEW FINDING", IF(COUNTIFS('[1]20 September New Socket'!E:E,$D575)&gt;0,"PREVOUS REPORT","N/A"))</f>
        <v>NEW FINDING</v>
      </c>
    </row>
    <row r="576" spans="1:6" x14ac:dyDescent="0.2">
      <c r="A576" s="1">
        <v>45986</v>
      </c>
      <c r="B576" s="2" t="s">
        <v>576</v>
      </c>
      <c r="C576" s="3" t="str">
        <f t="shared" si="24"/>
        <v/>
      </c>
      <c r="D576" s="3" t="str">
        <f t="shared" si="25"/>
        <v>rediff</v>
      </c>
      <c r="E576" s="3" t="str">
        <f t="shared" si="26"/>
        <v>v1.0.5</v>
      </c>
      <c r="F576" t="str">
        <f>IF(COUNTIFS('[1]25 November'!$E:$E,$D576)&gt;0, "NEW FINDING", IF(COUNTIFS('[1]20 September New Socket'!E:E,$D576)&gt;0,"PREVOUS REPORT","N/A"))</f>
        <v>NEW FINDING</v>
      </c>
    </row>
    <row r="577" spans="1:6" x14ac:dyDescent="0.2">
      <c r="B577" s="2" t="s">
        <v>577</v>
      </c>
      <c r="C577" s="3" t="str">
        <f t="shared" ref="C577:C640" si="27">IF(LEFT(B577,1)="@",LEFT(B577,FIND("/",B577)-1),"")</f>
        <v/>
      </c>
      <c r="D577" s="3" t="str">
        <f t="shared" ref="D577:D640" si="28">IF(LEFT(B577,1)="@",
    MID(
        B577,
        FIND("/",B577)+1,
        IFERROR(
            FIND("@",B577,FIND("/",B577)+1) - FIND("/",B577) - 1,
            LEN(B577) - FIND("/",B577)
        )
    ),
    IFERROR(LEFT(B577,FIND("@",B577)-1), B577)
)</f>
        <v>rediff-viewer</v>
      </c>
      <c r="E577" s="3" t="str">
        <f t="shared" ref="E577:E640" si="29">RIGHT(B577,LEN(B577)-FIND("@",B577,LEN(B577)-LEN(SUBSTITUTE(B577,"@",""))+1))</f>
        <v>v0.0.7</v>
      </c>
      <c r="F577" t="str">
        <f>IF(COUNTIFS('[1]25 November'!$E:$E,$D577)&gt;0, "NEW FINDING", IF(COUNTIFS('[1]20 September New Socket'!E:E,$D577)&gt;0,"PREVOUS REPORT","N/A"))</f>
        <v>N/A</v>
      </c>
    </row>
    <row r="578" spans="1:6" x14ac:dyDescent="0.2">
      <c r="A578" s="1">
        <v>45986</v>
      </c>
      <c r="B578" s="2" t="s">
        <v>578</v>
      </c>
      <c r="C578" s="3" t="str">
        <f t="shared" si="27"/>
        <v/>
      </c>
      <c r="D578" s="3" t="str">
        <f t="shared" si="28"/>
        <v>redux-forge</v>
      </c>
      <c r="E578" s="3" t="str">
        <f t="shared" si="29"/>
        <v>v2.5.3</v>
      </c>
      <c r="F578" t="str">
        <f>IF(COUNTIFS('[1]25 November'!$E:$E,$D578)&gt;0, "NEW FINDING", IF(COUNTIFS('[1]20 September New Socket'!E:E,$D578)&gt;0,"PREVOUS REPORT","N/A"))</f>
        <v>NEW FINDING</v>
      </c>
    </row>
    <row r="579" spans="1:6" x14ac:dyDescent="0.2">
      <c r="B579" s="2" t="s">
        <v>579</v>
      </c>
      <c r="C579" s="3" t="str">
        <f t="shared" si="27"/>
        <v/>
      </c>
      <c r="D579" s="3" t="str">
        <f t="shared" si="28"/>
        <v>revenuecat</v>
      </c>
      <c r="E579" s="3" t="str">
        <f t="shared" si="29"/>
        <v>v1.0.1</v>
      </c>
      <c r="F579" t="str">
        <f>IF(COUNTIFS('[1]25 November'!$E:$E,$D579)&gt;0, "NEW FINDING", IF(COUNTIFS('[1]20 September New Socket'!E:E,$D579)&gt;0,"PREVOUS REPORT","N/A"))</f>
        <v>N/A</v>
      </c>
    </row>
    <row r="580" spans="1:6" x14ac:dyDescent="0.2">
      <c r="B580" s="2" t="s">
        <v>580</v>
      </c>
      <c r="C580" s="3" t="str">
        <f t="shared" si="27"/>
        <v/>
      </c>
      <c r="D580" s="3" t="str">
        <f t="shared" si="28"/>
        <v>rollup-plugin-httpfile</v>
      </c>
      <c r="E580" s="3" t="str">
        <f t="shared" si="29"/>
        <v>v0.2.1</v>
      </c>
      <c r="F580" t="str">
        <f>IF(COUNTIFS('[1]25 November'!$E:$E,$D580)&gt;0, "NEW FINDING", IF(COUNTIFS('[1]20 September New Socket'!E:E,$D580)&gt;0,"PREVOUS REPORT","N/A"))</f>
        <v>N/A</v>
      </c>
    </row>
    <row r="581" spans="1:6" x14ac:dyDescent="0.2">
      <c r="B581" s="2" t="s">
        <v>581</v>
      </c>
      <c r="C581" s="3" t="str">
        <f t="shared" si="27"/>
        <v/>
      </c>
      <c r="D581" s="3" t="str">
        <f t="shared" si="28"/>
        <v>samesame</v>
      </c>
      <c r="E581" s="3" t="str">
        <f t="shared" si="29"/>
        <v>v1.0.3</v>
      </c>
      <c r="F581" t="str">
        <f>IF(COUNTIFS('[1]25 November'!$E:$E,$D581)&gt;0, "NEW FINDING", IF(COUNTIFS('[1]20 September New Socket'!E:E,$D581)&gt;0,"PREVOUS REPORT","N/A"))</f>
        <v>N/A</v>
      </c>
    </row>
    <row r="582" spans="1:6" x14ac:dyDescent="0.2">
      <c r="A582" s="1">
        <v>45986</v>
      </c>
      <c r="B582" s="2" t="s">
        <v>582</v>
      </c>
      <c r="C582" s="3" t="str">
        <f t="shared" si="27"/>
        <v/>
      </c>
      <c r="D582" s="3" t="str">
        <f t="shared" si="28"/>
        <v>scgs-capacitor-subscribe</v>
      </c>
      <c r="E582" s="3" t="str">
        <f t="shared" si="29"/>
        <v>v1.0.11</v>
      </c>
      <c r="F582" t="str">
        <f>IF(COUNTIFS('[1]25 November'!$E:$E,$D582)&gt;0, "NEW FINDING", IF(COUNTIFS('[1]20 September New Socket'!E:E,$D582)&gt;0,"PREVOUS REPORT","N/A"))</f>
        <v>NEW FINDING</v>
      </c>
    </row>
    <row r="583" spans="1:6" x14ac:dyDescent="0.2">
      <c r="A583" s="1">
        <v>45986</v>
      </c>
      <c r="B583" s="2" t="s">
        <v>583</v>
      </c>
      <c r="C583" s="3" t="str">
        <f t="shared" si="27"/>
        <v/>
      </c>
      <c r="D583" s="3" t="str">
        <f t="shared" si="28"/>
        <v>scgsffcreator</v>
      </c>
      <c r="E583" s="3" t="str">
        <f t="shared" si="29"/>
        <v>v1.0.5</v>
      </c>
      <c r="F583" t="str">
        <f>IF(COUNTIFS('[1]25 November'!$E:$E,$D583)&gt;0, "NEW FINDING", IF(COUNTIFS('[1]20 September New Socket'!E:E,$D583)&gt;0,"PREVOUS REPORT","N/A"))</f>
        <v>NEW FINDING</v>
      </c>
    </row>
    <row r="584" spans="1:6" x14ac:dyDescent="0.2">
      <c r="B584" s="2" t="s">
        <v>584</v>
      </c>
      <c r="C584" s="3" t="str">
        <f t="shared" si="27"/>
        <v/>
      </c>
      <c r="D584" s="3" t="str">
        <f t="shared" si="28"/>
        <v>schob</v>
      </c>
      <c r="E584" s="3" t="str">
        <f t="shared" si="29"/>
        <v>v1.0.3</v>
      </c>
      <c r="F584" t="str">
        <f>IF(COUNTIFS('[1]25 November'!$E:$E,$D584)&gt;0, "NEW FINDING", IF(COUNTIFS('[1]20 September New Socket'!E:E,$D584)&gt;0,"PREVOUS REPORT","N/A"))</f>
        <v>N/A</v>
      </c>
    </row>
    <row r="585" spans="1:6" x14ac:dyDescent="0.2">
      <c r="B585" s="2" t="s">
        <v>585</v>
      </c>
      <c r="C585" s="3" t="str">
        <f t="shared" si="27"/>
        <v/>
      </c>
      <c r="D585" s="3" t="str">
        <f t="shared" si="28"/>
        <v>selenium-session</v>
      </c>
      <c r="E585" s="3" t="str">
        <f t="shared" si="29"/>
        <v>v1.0.5</v>
      </c>
      <c r="F585" t="str">
        <f>IF(COUNTIFS('[1]25 November'!$E:$E,$D585)&gt;0, "NEW FINDING", IF(COUNTIFS('[1]20 September New Socket'!E:E,$D585)&gt;0,"PREVOUS REPORT","N/A"))</f>
        <v>N/A</v>
      </c>
    </row>
    <row r="586" spans="1:6" x14ac:dyDescent="0.2">
      <c r="B586" s="2" t="s">
        <v>586</v>
      </c>
      <c r="C586" s="3" t="str">
        <f t="shared" si="27"/>
        <v/>
      </c>
      <c r="D586" s="3" t="str">
        <f t="shared" si="28"/>
        <v>selenium-session-client</v>
      </c>
      <c r="E586" s="3" t="str">
        <f t="shared" si="29"/>
        <v>v1.0.4</v>
      </c>
      <c r="F586" t="str">
        <f>IF(COUNTIFS('[1]25 November'!$E:$E,$D586)&gt;0, "NEW FINDING", IF(COUNTIFS('[1]20 September New Socket'!E:E,$D586)&gt;0,"PREVOUS REPORT","N/A"))</f>
        <v>N/A</v>
      </c>
    </row>
    <row r="587" spans="1:6" x14ac:dyDescent="0.2">
      <c r="A587" s="1">
        <v>45986</v>
      </c>
      <c r="B587" s="2" t="s">
        <v>587</v>
      </c>
      <c r="C587" s="3" t="str">
        <f t="shared" si="27"/>
        <v/>
      </c>
      <c r="D587" s="3" t="str">
        <f t="shared" si="28"/>
        <v>shelf-jwt-sessions</v>
      </c>
      <c r="E587" s="3" t="str">
        <f t="shared" si="29"/>
        <v>v0.1.2</v>
      </c>
      <c r="F587" t="str">
        <f>IF(COUNTIFS('[1]25 November'!$E:$E,$D587)&gt;0, "NEW FINDING", IF(COUNTIFS('[1]20 September New Socket'!E:E,$D587)&gt;0,"PREVOUS REPORT","N/A"))</f>
        <v>NEW FINDING</v>
      </c>
    </row>
    <row r="588" spans="1:6" x14ac:dyDescent="0.2">
      <c r="A588" s="1">
        <v>45986</v>
      </c>
      <c r="B588" s="2" t="s">
        <v>588</v>
      </c>
      <c r="C588" s="3" t="str">
        <f t="shared" si="27"/>
        <v/>
      </c>
      <c r="D588" s="3" t="str">
        <f t="shared" si="28"/>
        <v>shinhan-limit-scrap</v>
      </c>
      <c r="E588" s="3" t="str">
        <f t="shared" si="29"/>
        <v>v1.0.3</v>
      </c>
      <c r="F588" t="str">
        <f>IF(COUNTIFS('[1]25 November'!$E:$E,$D588)&gt;0, "NEW FINDING", IF(COUNTIFS('[1]20 September New Socket'!E:E,$D588)&gt;0,"PREVOUS REPORT","N/A"))</f>
        <v>NEW FINDING</v>
      </c>
    </row>
    <row r="589" spans="1:6" x14ac:dyDescent="0.2">
      <c r="B589" s="2" t="s">
        <v>589</v>
      </c>
      <c r="C589" s="3" t="str">
        <f t="shared" si="27"/>
        <v/>
      </c>
      <c r="D589" s="3" t="str">
        <f t="shared" si="28"/>
        <v>silgi</v>
      </c>
      <c r="E589" s="3" t="str">
        <f t="shared" si="29"/>
        <v>v0.43.30</v>
      </c>
      <c r="F589" t="str">
        <f>IF(COUNTIFS('[1]25 November'!$E:$E,$D589)&gt;0, "NEW FINDING", IF(COUNTIFS('[1]20 September New Socket'!E:E,$D589)&gt;0,"PREVOUS REPORT","N/A"))</f>
        <v>N/A</v>
      </c>
    </row>
    <row r="590" spans="1:6" x14ac:dyDescent="0.2">
      <c r="B590" s="2" t="s">
        <v>590</v>
      </c>
      <c r="C590" s="3" t="str">
        <f t="shared" si="27"/>
        <v/>
      </c>
      <c r="D590" s="3" t="str">
        <f t="shared" si="28"/>
        <v>simplejsonform</v>
      </c>
      <c r="E590" s="3" t="str">
        <f t="shared" si="29"/>
        <v>v1.0.1</v>
      </c>
      <c r="F590" t="str">
        <f>IF(COUNTIFS('[1]25 November'!$E:$E,$D590)&gt;0, "NEW FINDING", IF(COUNTIFS('[1]20 September New Socket'!E:E,$D590)&gt;0,"PREVOUS REPORT","N/A"))</f>
        <v>N/A</v>
      </c>
    </row>
    <row r="591" spans="1:6" x14ac:dyDescent="0.2">
      <c r="A591" s="1">
        <v>45986</v>
      </c>
      <c r="B591" s="2" t="s">
        <v>591</v>
      </c>
      <c r="C591" s="3" t="str">
        <f t="shared" si="27"/>
        <v/>
      </c>
      <c r="D591" s="3" t="str">
        <f t="shared" si="28"/>
        <v>solomon-api-stories</v>
      </c>
      <c r="E591" s="3" t="str">
        <f t="shared" si="29"/>
        <v>v1.0.2</v>
      </c>
      <c r="F591" t="str">
        <f>IF(COUNTIFS('[1]25 November'!$E:$E,$D591)&gt;0, "NEW FINDING", IF(COUNTIFS('[1]20 September New Socket'!E:E,$D591)&gt;0,"PREVOUS REPORT","N/A"))</f>
        <v>NEW FINDING</v>
      </c>
    </row>
    <row r="592" spans="1:6" x14ac:dyDescent="0.2">
      <c r="A592" s="1">
        <v>45986</v>
      </c>
      <c r="B592" s="2" t="s">
        <v>592</v>
      </c>
      <c r="C592" s="3" t="str">
        <f t="shared" si="27"/>
        <v/>
      </c>
      <c r="D592" s="3" t="str">
        <f t="shared" si="28"/>
        <v>solomon-v3-stories</v>
      </c>
      <c r="E592" s="3" t="str">
        <f t="shared" si="29"/>
        <v>v1.15.6</v>
      </c>
      <c r="F592" t="str">
        <f>IF(COUNTIFS('[1]25 November'!$E:$E,$D592)&gt;0, "NEW FINDING", IF(COUNTIFS('[1]20 September New Socket'!E:E,$D592)&gt;0,"PREVOUS REPORT","N/A"))</f>
        <v>NEW FINDING</v>
      </c>
    </row>
    <row r="593" spans="1:6" x14ac:dyDescent="0.2">
      <c r="A593" s="1">
        <v>45986</v>
      </c>
      <c r="B593" s="2" t="s">
        <v>593</v>
      </c>
      <c r="C593" s="3" t="str">
        <f t="shared" si="27"/>
        <v/>
      </c>
      <c r="D593" s="3" t="str">
        <f t="shared" si="28"/>
        <v>solomon-v3-ui-wrapper</v>
      </c>
      <c r="E593" s="3" t="str">
        <f t="shared" si="29"/>
        <v>v1.6.1</v>
      </c>
      <c r="F593" t="str">
        <f>IF(COUNTIFS('[1]25 November'!$E:$E,$D593)&gt;0, "NEW FINDING", IF(COUNTIFS('[1]20 September New Socket'!E:E,$D593)&gt;0,"PREVOUS REPORT","N/A"))</f>
        <v>NEW FINDING</v>
      </c>
    </row>
    <row r="594" spans="1:6" x14ac:dyDescent="0.2">
      <c r="B594" s="2" t="s">
        <v>594</v>
      </c>
      <c r="C594" s="3" t="str">
        <f t="shared" si="27"/>
        <v/>
      </c>
      <c r="D594" s="3" t="str">
        <f t="shared" si="28"/>
        <v>soneium-acs</v>
      </c>
      <c r="E594" s="3" t="str">
        <f t="shared" si="29"/>
        <v>v1.0.1</v>
      </c>
      <c r="F594" t="str">
        <f>IF(COUNTIFS('[1]25 November'!$E:$E,$D594)&gt;0, "NEW FINDING", IF(COUNTIFS('[1]20 September New Socket'!E:E,$D594)&gt;0,"PREVOUS REPORT","N/A"))</f>
        <v>N/A</v>
      </c>
    </row>
    <row r="595" spans="1:6" x14ac:dyDescent="0.2">
      <c r="A595" s="1">
        <v>45986</v>
      </c>
      <c r="B595" s="2" t="s">
        <v>595</v>
      </c>
      <c r="C595" s="3" t="str">
        <f t="shared" si="27"/>
        <v/>
      </c>
      <c r="D595" s="3" t="str">
        <f t="shared" si="28"/>
        <v>sort-by-distance</v>
      </c>
      <c r="E595" s="3" t="str">
        <f t="shared" si="29"/>
        <v>v2.0.1</v>
      </c>
      <c r="F595" t="str">
        <f>IF(COUNTIFS('[1]25 November'!$E:$E,$D595)&gt;0, "NEW FINDING", IF(COUNTIFS('[1]20 September New Socket'!E:E,$D595)&gt;0,"PREVOUS REPORT","N/A"))</f>
        <v>NEW FINDING</v>
      </c>
    </row>
    <row r="596" spans="1:6" x14ac:dyDescent="0.2">
      <c r="B596" s="2" t="s">
        <v>596</v>
      </c>
      <c r="C596" s="3" t="str">
        <f t="shared" si="27"/>
        <v/>
      </c>
      <c r="D596" s="3" t="str">
        <f t="shared" si="28"/>
        <v>south-african-id-info</v>
      </c>
      <c r="E596" s="3" t="str">
        <f t="shared" si="29"/>
        <v>v1.0.2</v>
      </c>
      <c r="F596" t="str">
        <f>IF(COUNTIFS('[1]25 November'!$E:$E,$D596)&gt;0, "NEW FINDING", IF(COUNTIFS('[1]20 September New Socket'!E:E,$D596)&gt;0,"PREVOUS REPORT","N/A"))</f>
        <v>N/A</v>
      </c>
    </row>
    <row r="597" spans="1:6" x14ac:dyDescent="0.2">
      <c r="B597" s="2" t="s">
        <v>597</v>
      </c>
      <c r="C597" s="3" t="str">
        <f t="shared" si="27"/>
        <v/>
      </c>
      <c r="D597" s="3" t="str">
        <f t="shared" si="28"/>
        <v>stat-fns</v>
      </c>
      <c r="E597" s="3" t="str">
        <f t="shared" si="29"/>
        <v>v1.0.1</v>
      </c>
      <c r="F597" t="str">
        <f>IF(COUNTIFS('[1]25 November'!$E:$E,$D597)&gt;0, "NEW FINDING", IF(COUNTIFS('[1]20 September New Socket'!E:E,$D597)&gt;0,"PREVOUS REPORT","N/A"))</f>
        <v>N/A</v>
      </c>
    </row>
    <row r="598" spans="1:6" x14ac:dyDescent="0.2">
      <c r="A598" s="1">
        <v>45986</v>
      </c>
      <c r="B598" s="2" t="s">
        <v>598</v>
      </c>
      <c r="C598" s="3" t="str">
        <f t="shared" si="27"/>
        <v/>
      </c>
      <c r="D598" s="3" t="str">
        <f t="shared" si="28"/>
        <v>stoor</v>
      </c>
      <c r="E598" s="3" t="str">
        <f t="shared" si="29"/>
        <v>v2.3.2</v>
      </c>
      <c r="F598" t="str">
        <f>IF(COUNTIFS('[1]25 November'!$E:$E,$D598)&gt;0, "NEW FINDING", IF(COUNTIFS('[1]20 September New Socket'!E:E,$D598)&gt;0,"PREVOUS REPORT","N/A"))</f>
        <v>NEW FINDING</v>
      </c>
    </row>
    <row r="599" spans="1:6" x14ac:dyDescent="0.2">
      <c r="B599" s="2" t="s">
        <v>599</v>
      </c>
      <c r="C599" s="3" t="str">
        <f t="shared" si="27"/>
        <v/>
      </c>
      <c r="D599" s="3" t="str">
        <f t="shared" si="28"/>
        <v>sufetch</v>
      </c>
      <c r="E599" s="3" t="str">
        <f t="shared" si="29"/>
        <v>v0.4.1</v>
      </c>
      <c r="F599" t="str">
        <f>IF(COUNTIFS('[1]25 November'!$E:$E,$D599)&gt;0, "NEW FINDING", IF(COUNTIFS('[1]20 September New Socket'!E:E,$D599)&gt;0,"PREVOUS REPORT","N/A"))</f>
        <v>N/A</v>
      </c>
    </row>
    <row r="600" spans="1:6" x14ac:dyDescent="0.2">
      <c r="B600" s="2" t="s">
        <v>600</v>
      </c>
      <c r="C600" s="3" t="str">
        <f t="shared" si="27"/>
        <v/>
      </c>
      <c r="D600" s="3" t="str">
        <f t="shared" si="28"/>
        <v>super-commit</v>
      </c>
      <c r="E600" s="3" t="str">
        <f t="shared" si="29"/>
        <v>v1.0.1</v>
      </c>
      <c r="F600" t="str">
        <f>IF(COUNTIFS('[1]25 November'!$E:$E,$D600)&gt;0, "NEW FINDING", IF(COUNTIFS('[1]20 September New Socket'!E:E,$D600)&gt;0,"PREVOUS REPORT","N/A"))</f>
        <v>N/A</v>
      </c>
    </row>
    <row r="601" spans="1:6" x14ac:dyDescent="0.2">
      <c r="A601" s="1">
        <v>45986</v>
      </c>
      <c r="B601" s="2" t="s">
        <v>601</v>
      </c>
      <c r="C601" s="3" t="str">
        <f t="shared" si="27"/>
        <v/>
      </c>
      <c r="D601" s="3" t="str">
        <f t="shared" si="28"/>
        <v>svelte-autocomplete-select</v>
      </c>
      <c r="E601" s="3" t="str">
        <f t="shared" si="29"/>
        <v>v1.1.1</v>
      </c>
      <c r="F601" t="str">
        <f>IF(COUNTIFS('[1]25 November'!$E:$E,$D601)&gt;0, "NEW FINDING", IF(COUNTIFS('[1]20 September New Socket'!E:E,$D601)&gt;0,"PREVOUS REPORT","N/A"))</f>
        <v>NEW FINDING</v>
      </c>
    </row>
    <row r="602" spans="1:6" x14ac:dyDescent="0.2">
      <c r="B602" s="2" t="s">
        <v>602</v>
      </c>
      <c r="C602" s="3" t="str">
        <f t="shared" si="27"/>
        <v/>
      </c>
      <c r="D602" s="3" t="str">
        <f t="shared" si="28"/>
        <v>tanstack-shadcn-table</v>
      </c>
      <c r="E602" s="3" t="str">
        <f t="shared" si="29"/>
        <v>v1.1.5</v>
      </c>
      <c r="F602" t="str">
        <f>IF(COUNTIFS('[1]25 November'!$E:$E,$D602)&gt;0, "NEW FINDING", IF(COUNTIFS('[1]20 September New Socket'!E:E,$D602)&gt;0,"PREVOUS REPORT","N/A"))</f>
        <v>N/A</v>
      </c>
    </row>
    <row r="603" spans="1:6" x14ac:dyDescent="0.2">
      <c r="B603" s="2" t="s">
        <v>603</v>
      </c>
      <c r="C603" s="3" t="str">
        <f t="shared" si="27"/>
        <v/>
      </c>
      <c r="D603" s="3" t="str">
        <f t="shared" si="28"/>
        <v>tavily-module</v>
      </c>
      <c r="E603" s="3" t="str">
        <f t="shared" si="29"/>
        <v>v1.0.1</v>
      </c>
      <c r="F603" t="str">
        <f>IF(COUNTIFS('[1]25 November'!$E:$E,$D603)&gt;0, "NEW FINDING", IF(COUNTIFS('[1]20 September New Socket'!E:E,$D603)&gt;0,"PREVOUS REPORT","N/A"))</f>
        <v>N/A</v>
      </c>
    </row>
    <row r="604" spans="1:6" x14ac:dyDescent="0.2">
      <c r="B604" s="2" t="s">
        <v>604</v>
      </c>
      <c r="C604" s="3" t="str">
        <f t="shared" si="27"/>
        <v/>
      </c>
      <c r="D604" s="3" t="str">
        <f t="shared" si="28"/>
        <v>tcsp</v>
      </c>
      <c r="E604" s="3" t="str">
        <f t="shared" si="29"/>
        <v>v2.0.2</v>
      </c>
      <c r="F604" t="str">
        <f>IF(COUNTIFS('[1]25 November'!$E:$E,$D604)&gt;0, "NEW FINDING", IF(COUNTIFS('[1]20 September New Socket'!E:E,$D604)&gt;0,"PREVOUS REPORT","N/A"))</f>
        <v>N/A</v>
      </c>
    </row>
    <row r="605" spans="1:6" x14ac:dyDescent="0.2">
      <c r="A605" s="1">
        <v>45986</v>
      </c>
      <c r="B605" s="2" t="s">
        <v>605</v>
      </c>
      <c r="C605" s="3" t="str">
        <f t="shared" si="27"/>
        <v/>
      </c>
      <c r="D605" s="3" t="str">
        <f t="shared" si="28"/>
        <v>tcsp-draw-test</v>
      </c>
      <c r="E605" s="3" t="str">
        <f t="shared" si="29"/>
        <v>v1.0.5</v>
      </c>
      <c r="F605" t="str">
        <f>IF(COUNTIFS('[1]25 November'!$E:$E,$D605)&gt;0, "NEW FINDING", IF(COUNTIFS('[1]20 September New Socket'!E:E,$D605)&gt;0,"PREVOUS REPORT","N/A"))</f>
        <v>NEW FINDING</v>
      </c>
    </row>
    <row r="606" spans="1:6" x14ac:dyDescent="0.2">
      <c r="B606" s="2" t="s">
        <v>606</v>
      </c>
      <c r="C606" s="3" t="str">
        <f t="shared" si="27"/>
        <v/>
      </c>
      <c r="D606" s="3" t="str">
        <f t="shared" si="28"/>
        <v>tcsp-test-vd</v>
      </c>
      <c r="E606" s="3" t="str">
        <f t="shared" si="29"/>
        <v>v2.4.4</v>
      </c>
      <c r="F606" t="str">
        <f>IF(COUNTIFS('[1]25 November'!$E:$E,$D606)&gt;0, "NEW FINDING", IF(COUNTIFS('[1]20 September New Socket'!E:E,$D606)&gt;0,"PREVOUS REPORT","N/A"))</f>
        <v>N/A</v>
      </c>
    </row>
    <row r="607" spans="1:6" x14ac:dyDescent="0.2">
      <c r="A607" s="1">
        <v>45986</v>
      </c>
      <c r="B607" s="2" t="s">
        <v>607</v>
      </c>
      <c r="C607" s="3" t="str">
        <f t="shared" si="27"/>
        <v/>
      </c>
      <c r="D607" s="3" t="str">
        <f t="shared" si="28"/>
        <v>test23112222-api</v>
      </c>
      <c r="E607" s="3" t="str">
        <f t="shared" si="29"/>
        <v>v1.0.1</v>
      </c>
      <c r="F607" t="str">
        <f>IF(COUNTIFS('[1]25 November'!$E:$E,$D607)&gt;0, "NEW FINDING", IF(COUNTIFS('[1]20 September New Socket'!E:E,$D607)&gt;0,"PREVOUS REPORT","N/A"))</f>
        <v>NEW FINDING</v>
      </c>
    </row>
    <row r="608" spans="1:6" x14ac:dyDescent="0.2">
      <c r="B608" s="2" t="s">
        <v>608</v>
      </c>
      <c r="C608" s="3" t="str">
        <f t="shared" si="27"/>
        <v/>
      </c>
      <c r="D608" s="3" t="str">
        <f t="shared" si="28"/>
        <v>tiaan</v>
      </c>
      <c r="E608" s="3" t="str">
        <f t="shared" si="29"/>
        <v>v1.0.2</v>
      </c>
      <c r="F608" t="str">
        <f>IF(COUNTIFS('[1]25 November'!$E:$E,$D608)&gt;0, "NEW FINDING", IF(COUNTIFS('[1]20 September New Socket'!E:E,$D608)&gt;0,"PREVOUS REPORT","N/A"))</f>
        <v>N/A</v>
      </c>
    </row>
    <row r="609" spans="1:6" x14ac:dyDescent="0.2">
      <c r="B609" s="2" t="s">
        <v>609</v>
      </c>
      <c r="C609" s="3" t="str">
        <f t="shared" si="27"/>
        <v/>
      </c>
      <c r="D609" s="3" t="str">
        <f t="shared" si="28"/>
        <v>tiptap-shadcn-vue</v>
      </c>
      <c r="E609" s="3" t="str">
        <f t="shared" si="29"/>
        <v>v0.2.1</v>
      </c>
      <c r="F609" t="str">
        <f>IF(COUNTIFS('[1]25 November'!$E:$E,$D609)&gt;0, "NEW FINDING", IF(COUNTIFS('[1]20 September New Socket'!E:E,$D609)&gt;0,"PREVOUS REPORT","N/A"))</f>
        <v>N/A</v>
      </c>
    </row>
    <row r="610" spans="1:6" x14ac:dyDescent="0.2">
      <c r="A610" s="1">
        <v>45986</v>
      </c>
      <c r="B610" s="2" t="s">
        <v>610</v>
      </c>
      <c r="C610" s="3" t="str">
        <f t="shared" si="27"/>
        <v/>
      </c>
      <c r="D610" s="3" t="str">
        <f t="shared" si="28"/>
        <v>token.js-fork</v>
      </c>
      <c r="E610" s="3" t="str">
        <f t="shared" si="29"/>
        <v>v0.7.32</v>
      </c>
      <c r="F610" t="str">
        <f>IF(COUNTIFS('[1]25 November'!$E:$E,$D610)&gt;0, "NEW FINDING", IF(COUNTIFS('[1]20 September New Socket'!E:E,$D610)&gt;0,"PREVOUS REPORT","N/A"))</f>
        <v>NEW FINDING</v>
      </c>
    </row>
    <row r="611" spans="1:6" x14ac:dyDescent="0.2">
      <c r="B611" s="2" t="s">
        <v>611</v>
      </c>
      <c r="C611" s="3" t="str">
        <f t="shared" si="27"/>
        <v/>
      </c>
      <c r="D611" s="3" t="str">
        <f t="shared" si="28"/>
        <v>toonfetch</v>
      </c>
      <c r="E611" s="3" t="str">
        <f t="shared" si="29"/>
        <v>v0.3.2</v>
      </c>
      <c r="F611" t="str">
        <f>IF(COUNTIFS('[1]25 November'!$E:$E,$D611)&gt;0, "NEW FINDING", IF(COUNTIFS('[1]20 September New Socket'!E:E,$D611)&gt;0,"PREVOUS REPORT","N/A"))</f>
        <v>N/A</v>
      </c>
    </row>
    <row r="612" spans="1:6" x14ac:dyDescent="0.2">
      <c r="A612" s="1">
        <v>45986</v>
      </c>
      <c r="B612" s="2" t="s">
        <v>612</v>
      </c>
      <c r="C612" s="3" t="str">
        <f t="shared" si="27"/>
        <v/>
      </c>
      <c r="D612" s="3" t="str">
        <f t="shared" si="28"/>
        <v>trigo-react-app</v>
      </c>
      <c r="E612" s="3" t="str">
        <f t="shared" si="29"/>
        <v>v4.1.2</v>
      </c>
      <c r="F612" t="str">
        <f>IF(COUNTIFS('[1]25 November'!$E:$E,$D612)&gt;0, "NEW FINDING", IF(COUNTIFS('[1]20 September New Socket'!E:E,$D612)&gt;0,"PREVOUS REPORT","N/A"))</f>
        <v>NEW FINDING</v>
      </c>
    </row>
    <row r="613" spans="1:6" x14ac:dyDescent="0.2">
      <c r="B613" s="2" t="s">
        <v>613</v>
      </c>
      <c r="C613" s="3" t="str">
        <f t="shared" si="27"/>
        <v/>
      </c>
      <c r="D613" s="3" t="str">
        <f t="shared" si="28"/>
        <v>ts-relay-cursor-paging</v>
      </c>
      <c r="E613" s="3" t="str">
        <f t="shared" si="29"/>
        <v>v2.1.1</v>
      </c>
      <c r="F613" t="str">
        <f>IF(COUNTIFS('[1]25 November'!$E:$E,$D613)&gt;0, "NEW FINDING", IF(COUNTIFS('[1]20 September New Socket'!E:E,$D613)&gt;0,"PREVOUS REPORT","N/A"))</f>
        <v>N/A</v>
      </c>
    </row>
    <row r="614" spans="1:6" x14ac:dyDescent="0.2">
      <c r="B614" s="2" t="s">
        <v>614</v>
      </c>
      <c r="C614" s="3" t="str">
        <f t="shared" si="27"/>
        <v/>
      </c>
      <c r="D614" s="3" t="str">
        <f t="shared" si="28"/>
        <v>typeface-antonio-complete</v>
      </c>
      <c r="E614" s="3" t="str">
        <f t="shared" si="29"/>
        <v>v1.0.5</v>
      </c>
      <c r="F614" t="str">
        <f>IF(COUNTIFS('[1]25 November'!$E:$E,$D614)&gt;0, "NEW FINDING", IF(COUNTIFS('[1]20 September New Socket'!E:E,$D614)&gt;0,"PREVOUS REPORT","N/A"))</f>
        <v>N/A</v>
      </c>
    </row>
    <row r="615" spans="1:6" x14ac:dyDescent="0.2">
      <c r="A615" s="1">
        <v>45986</v>
      </c>
      <c r="B615" s="2" t="s">
        <v>615</v>
      </c>
      <c r="C615" s="3" t="str">
        <f t="shared" si="27"/>
        <v/>
      </c>
      <c r="D615" s="3" t="str">
        <f t="shared" si="28"/>
        <v>typeorm-orbit</v>
      </c>
      <c r="E615" s="3" t="str">
        <f t="shared" si="29"/>
        <v>v0.2.27</v>
      </c>
      <c r="F615" t="str">
        <f>IF(COUNTIFS('[1]25 November'!$E:$E,$D615)&gt;0, "NEW FINDING", IF(COUNTIFS('[1]20 September New Socket'!E:E,$D615)&gt;0,"PREVOUS REPORT","N/A"))</f>
        <v>NEW FINDING</v>
      </c>
    </row>
    <row r="616" spans="1:6" x14ac:dyDescent="0.2">
      <c r="B616" s="2" t="s">
        <v>616</v>
      </c>
      <c r="C616" s="3" t="str">
        <f t="shared" si="27"/>
        <v/>
      </c>
      <c r="D616" s="3" t="str">
        <f t="shared" si="28"/>
        <v>unadapter</v>
      </c>
      <c r="E616" s="3" t="str">
        <f t="shared" si="29"/>
        <v>v0.1.3</v>
      </c>
      <c r="F616" t="str">
        <f>IF(COUNTIFS('[1]25 November'!$E:$E,$D616)&gt;0, "NEW FINDING", IF(COUNTIFS('[1]20 September New Socket'!E:E,$D616)&gt;0,"PREVOUS REPORT","N/A"))</f>
        <v>N/A</v>
      </c>
    </row>
    <row r="617" spans="1:6" x14ac:dyDescent="0.2">
      <c r="B617" s="2" t="s">
        <v>617</v>
      </c>
      <c r="C617" s="3" t="str">
        <f t="shared" si="27"/>
        <v/>
      </c>
      <c r="D617" s="3" t="str">
        <f t="shared" si="28"/>
        <v>unemail</v>
      </c>
      <c r="E617" s="3" t="str">
        <f t="shared" si="29"/>
        <v>v0.3.1</v>
      </c>
      <c r="F617" t="str">
        <f>IF(COUNTIFS('[1]25 November'!$E:$E,$D617)&gt;0, "NEW FINDING", IF(COUNTIFS('[1]20 September New Socket'!E:E,$D617)&gt;0,"PREVOUS REPORT","N/A"))</f>
        <v>N/A</v>
      </c>
    </row>
    <row r="618" spans="1:6" x14ac:dyDescent="0.2">
      <c r="B618" s="2" t="s">
        <v>618</v>
      </c>
      <c r="C618" s="3" t="str">
        <f t="shared" si="27"/>
        <v/>
      </c>
      <c r="D618" s="3" t="str">
        <f t="shared" si="28"/>
        <v>uniswap-router-sdk</v>
      </c>
      <c r="E618" s="3" t="str">
        <f t="shared" si="29"/>
        <v>v1.6.2</v>
      </c>
      <c r="F618" t="str">
        <f>IF(COUNTIFS('[1]25 November'!$E:$E,$D618)&gt;0, "NEW FINDING", IF(COUNTIFS('[1]20 September New Socket'!E:E,$D618)&gt;0,"PREVOUS REPORT","N/A"))</f>
        <v>N/A</v>
      </c>
    </row>
    <row r="619" spans="1:6" x14ac:dyDescent="0.2">
      <c r="B619" s="2" t="s">
        <v>619</v>
      </c>
      <c r="C619" s="3" t="str">
        <f t="shared" si="27"/>
        <v/>
      </c>
      <c r="D619" s="3" t="str">
        <f t="shared" si="28"/>
        <v>uniswap-smart-order-router</v>
      </c>
      <c r="E619" s="3" t="str">
        <f t="shared" si="29"/>
        <v>v3.16.26</v>
      </c>
      <c r="F619" t="str">
        <f>IF(COUNTIFS('[1]25 November'!$E:$E,$D619)&gt;0, "NEW FINDING", IF(COUNTIFS('[1]20 September New Socket'!E:E,$D619)&gt;0,"PREVOUS REPORT","N/A"))</f>
        <v>N/A</v>
      </c>
    </row>
    <row r="620" spans="1:6" x14ac:dyDescent="0.2">
      <c r="B620" s="2" t="s">
        <v>620</v>
      </c>
      <c r="C620" s="3" t="str">
        <f t="shared" si="27"/>
        <v/>
      </c>
      <c r="D620" s="3" t="str">
        <f t="shared" si="28"/>
        <v>uniswap-test-sdk-core</v>
      </c>
      <c r="E620" s="3" t="str">
        <f t="shared" si="29"/>
        <v>v4.0.8</v>
      </c>
      <c r="F620" t="str">
        <f>IF(COUNTIFS('[1]25 November'!$E:$E,$D620)&gt;0, "NEW FINDING", IF(COUNTIFS('[1]20 September New Socket'!E:E,$D620)&gt;0,"PREVOUS REPORT","N/A"))</f>
        <v>N/A</v>
      </c>
    </row>
    <row r="621" spans="1:6" x14ac:dyDescent="0.2">
      <c r="B621" s="2" t="s">
        <v>621</v>
      </c>
      <c r="C621" s="3" t="str">
        <f t="shared" si="27"/>
        <v/>
      </c>
      <c r="D621" s="3" t="str">
        <f t="shared" si="28"/>
        <v>unsearch</v>
      </c>
      <c r="E621" s="3" t="str">
        <f t="shared" si="29"/>
        <v>v0.0.3</v>
      </c>
      <c r="F621" t="str">
        <f>IF(COUNTIFS('[1]25 November'!$E:$E,$D621)&gt;0, "NEW FINDING", IF(COUNTIFS('[1]20 September New Socket'!E:E,$D621)&gt;0,"PREVOUS REPORT","N/A"))</f>
        <v>N/A</v>
      </c>
    </row>
    <row r="622" spans="1:6" x14ac:dyDescent="0.2">
      <c r="A622" s="1">
        <v>45986</v>
      </c>
      <c r="B622" s="2" t="s">
        <v>622</v>
      </c>
      <c r="C622" s="3" t="str">
        <f t="shared" si="27"/>
        <v/>
      </c>
      <c r="D622" s="3" t="str">
        <f t="shared" si="28"/>
        <v>uplandui</v>
      </c>
      <c r="E622" s="3" t="str">
        <f t="shared" si="29"/>
        <v>v0.5.4</v>
      </c>
      <c r="F622" t="str">
        <f>IF(COUNTIFS('[1]25 November'!$E:$E,$D622)&gt;0, "NEW FINDING", IF(COUNTIFS('[1]20 September New Socket'!E:E,$D622)&gt;0,"PREVOUS REPORT","N/A"))</f>
        <v>NEW FINDING</v>
      </c>
    </row>
    <row r="623" spans="1:6" x14ac:dyDescent="0.2">
      <c r="B623" s="2" t="s">
        <v>623</v>
      </c>
      <c r="C623" s="3" t="str">
        <f t="shared" si="27"/>
        <v/>
      </c>
      <c r="D623" s="3" t="str">
        <f t="shared" si="28"/>
        <v>use-unsaved-changes</v>
      </c>
      <c r="E623" s="3" t="str">
        <f t="shared" si="29"/>
        <v>v1.0.9</v>
      </c>
      <c r="F623" t="str">
        <f>IF(COUNTIFS('[1]25 November'!$E:$E,$D623)&gt;0, "NEW FINDING", IF(COUNTIFS('[1]20 September New Socket'!E:E,$D623)&gt;0,"PREVOUS REPORT","N/A"))</f>
        <v>N/A</v>
      </c>
    </row>
    <row r="624" spans="1:6" x14ac:dyDescent="0.2">
      <c r="B624" s="2" t="s">
        <v>624</v>
      </c>
      <c r="C624" s="3" t="str">
        <f t="shared" si="27"/>
        <v/>
      </c>
      <c r="D624" s="3" t="str">
        <f t="shared" si="28"/>
        <v>v-plausible</v>
      </c>
      <c r="E624" s="3" t="str">
        <f t="shared" si="29"/>
        <v>v1.2.1</v>
      </c>
      <c r="F624" t="str">
        <f>IF(COUNTIFS('[1]25 November'!$E:$E,$D624)&gt;0, "NEW FINDING", IF(COUNTIFS('[1]20 September New Socket'!E:E,$D624)&gt;0,"PREVOUS REPORT","N/A"))</f>
        <v>N/A</v>
      </c>
    </row>
    <row r="625" spans="1:6" x14ac:dyDescent="0.2">
      <c r="B625" s="2" t="s">
        <v>625</v>
      </c>
      <c r="C625" s="3" t="str">
        <f t="shared" si="27"/>
        <v/>
      </c>
      <c r="D625" s="3" t="str">
        <f t="shared" si="28"/>
        <v>valid-south-african-id</v>
      </c>
      <c r="E625" s="3" t="str">
        <f t="shared" si="29"/>
        <v>v1.0.3</v>
      </c>
      <c r="F625" t="str">
        <f>IF(COUNTIFS('[1]25 November'!$E:$E,$D625)&gt;0, "NEW FINDING", IF(COUNTIFS('[1]20 September New Socket'!E:E,$D625)&gt;0,"PREVOUS REPORT","N/A"))</f>
        <v>N/A</v>
      </c>
    </row>
    <row r="626" spans="1:6" x14ac:dyDescent="0.2">
      <c r="B626" s="2" t="s">
        <v>626</v>
      </c>
      <c r="C626" s="3" t="str">
        <f t="shared" si="27"/>
        <v/>
      </c>
      <c r="D626" s="3" t="str">
        <f t="shared" si="28"/>
        <v>valuedex-sdk</v>
      </c>
      <c r="E626" s="3" t="str">
        <f t="shared" si="29"/>
        <v>v3.0.5</v>
      </c>
      <c r="F626" t="str">
        <f>IF(COUNTIFS('[1]25 November'!$E:$E,$D626)&gt;0, "NEW FINDING", IF(COUNTIFS('[1]20 September New Socket'!E:E,$D626)&gt;0,"PREVOUS REPORT","N/A"))</f>
        <v>N/A</v>
      </c>
    </row>
    <row r="627" spans="1:6" x14ac:dyDescent="0.2">
      <c r="A627" s="1">
        <v>45986</v>
      </c>
      <c r="B627" s="2" t="s">
        <v>627</v>
      </c>
      <c r="C627" s="3" t="str">
        <f t="shared" si="27"/>
        <v/>
      </c>
      <c r="D627" s="3" t="str">
        <f t="shared" si="28"/>
        <v>vite-plugin-httpfile</v>
      </c>
      <c r="E627" s="3" t="str">
        <f t="shared" si="29"/>
        <v>v0.2.1</v>
      </c>
      <c r="F627" t="str">
        <f>IF(COUNTIFS('[1]25 November'!$E:$E,$D627)&gt;0, "NEW FINDING", IF(COUNTIFS('[1]20 September New Socket'!E:E,$D627)&gt;0,"PREVOUS REPORT","N/A"))</f>
        <v>NEW FINDING</v>
      </c>
    </row>
    <row r="628" spans="1:6" x14ac:dyDescent="0.2">
      <c r="B628" s="2" t="s">
        <v>628</v>
      </c>
      <c r="C628" s="3" t="str">
        <f t="shared" si="27"/>
        <v/>
      </c>
      <c r="D628" s="3" t="str">
        <f t="shared" si="28"/>
        <v>vue-browserupdate-nuxt</v>
      </c>
      <c r="E628" s="3" t="str">
        <f t="shared" si="29"/>
        <v>v1.0.5</v>
      </c>
      <c r="F628" t="str">
        <f>IF(COUNTIFS('[1]25 November'!$E:$E,$D628)&gt;0, "NEW FINDING", IF(COUNTIFS('[1]20 September New Socket'!E:E,$D628)&gt;0,"PREVOUS REPORT","N/A"))</f>
        <v>N/A</v>
      </c>
    </row>
    <row r="629" spans="1:6" x14ac:dyDescent="0.2">
      <c r="B629" s="2" t="s">
        <v>629</v>
      </c>
      <c r="C629" s="3" t="str">
        <f t="shared" si="27"/>
        <v/>
      </c>
      <c r="D629" s="3" t="str">
        <f t="shared" si="28"/>
        <v>web-scraper-mcp</v>
      </c>
      <c r="E629" s="3" t="str">
        <f t="shared" si="29"/>
        <v>v1.1.4</v>
      </c>
      <c r="F629" t="str">
        <f>IF(COUNTIFS('[1]25 November'!$E:$E,$D629)&gt;0, "NEW FINDING", IF(COUNTIFS('[1]20 September New Socket'!E:E,$D629)&gt;0,"PREVOUS REPORT","N/A"))</f>
        <v>N/A</v>
      </c>
    </row>
    <row r="630" spans="1:6" x14ac:dyDescent="0.2">
      <c r="A630" s="1">
        <v>45986</v>
      </c>
      <c r="B630" s="2" t="s">
        <v>630</v>
      </c>
      <c r="C630" s="3" t="str">
        <f t="shared" si="27"/>
        <v/>
      </c>
      <c r="D630" s="3" t="str">
        <f t="shared" si="28"/>
        <v>web-types-htmx</v>
      </c>
      <c r="E630" s="3" t="str">
        <f t="shared" si="29"/>
        <v>v0.1.1</v>
      </c>
      <c r="F630" t="str">
        <f>IF(COUNTIFS('[1]25 November'!$E:$E,$D630)&gt;0, "NEW FINDING", IF(COUNTIFS('[1]20 September New Socket'!E:E,$D630)&gt;0,"PREVOUS REPORT","N/A"))</f>
        <v>NEW FINDING</v>
      </c>
    </row>
    <row r="631" spans="1:6" x14ac:dyDescent="0.2">
      <c r="A631" s="1">
        <v>45986</v>
      </c>
      <c r="B631" s="2" t="s">
        <v>631</v>
      </c>
      <c r="C631" s="3" t="str">
        <f t="shared" si="27"/>
        <v/>
      </c>
      <c r="D631" s="3" t="str">
        <f t="shared" si="28"/>
        <v>web-types-lit</v>
      </c>
      <c r="E631" s="3" t="str">
        <f t="shared" si="29"/>
        <v>v0.1.1</v>
      </c>
      <c r="F631" t="str">
        <f>IF(COUNTIFS('[1]25 November'!$E:$E,$D631)&gt;0, "NEW FINDING", IF(COUNTIFS('[1]20 September New Socket'!E:E,$D631)&gt;0,"PREVOUS REPORT","N/A"))</f>
        <v>NEW FINDING</v>
      </c>
    </row>
    <row r="632" spans="1:6" x14ac:dyDescent="0.2">
      <c r="B632" s="2" t="s">
        <v>632</v>
      </c>
      <c r="C632" s="3" t="str">
        <f t="shared" si="27"/>
        <v/>
      </c>
      <c r="D632" s="3" t="str">
        <f t="shared" si="28"/>
        <v>webpack-loader-httpfile</v>
      </c>
      <c r="E632" s="3" t="str">
        <f t="shared" si="29"/>
        <v>v0.2.1</v>
      </c>
      <c r="F632" t="str">
        <f>IF(COUNTIFS('[1]25 November'!$E:$E,$D632)&gt;0, "NEW FINDING", IF(COUNTIFS('[1]20 September New Socket'!E:E,$D632)&gt;0,"PREVOUS REPORT","N/A"))</f>
        <v>N/A</v>
      </c>
    </row>
    <row r="633" spans="1:6" x14ac:dyDescent="0.2">
      <c r="B633" s="2" t="s">
        <v>633</v>
      </c>
      <c r="C633" s="3" t="str">
        <f t="shared" si="27"/>
        <v/>
      </c>
      <c r="D633" s="3" t="str">
        <f t="shared" si="28"/>
        <v>wellness-expert-ng-gallery</v>
      </c>
      <c r="E633" s="3" t="str">
        <f t="shared" si="29"/>
        <v>v5.1.1</v>
      </c>
      <c r="F633" t="str">
        <f>IF(COUNTIFS('[1]25 November'!$E:$E,$D633)&gt;0, "NEW FINDING", IF(COUNTIFS('[1]20 September New Socket'!E:E,$D633)&gt;0,"PREVOUS REPORT","N/A"))</f>
        <v>N/A</v>
      </c>
    </row>
    <row r="634" spans="1:6" x14ac:dyDescent="0.2">
      <c r="A634" s="1">
        <v>45986</v>
      </c>
      <c r="B634" s="2" t="s">
        <v>634</v>
      </c>
      <c r="C634" s="3" t="str">
        <f t="shared" si="27"/>
        <v/>
      </c>
      <c r="D634" s="3" t="str">
        <f t="shared" si="28"/>
        <v>zuper-cli</v>
      </c>
      <c r="E634" s="3" t="str">
        <f t="shared" si="29"/>
        <v>v1.0.1</v>
      </c>
      <c r="F634" t="str">
        <f>IF(COUNTIFS('[1]25 November'!$E:$E,$D634)&gt;0, "NEW FINDING", IF(COUNTIFS('[1]20 September New Socket'!E:E,$D634)&gt;0,"PREVOUS REPORT","N/A"))</f>
        <v>NEW FINDING</v>
      </c>
    </row>
    <row r="635" spans="1:6" x14ac:dyDescent="0.2">
      <c r="A635" s="1">
        <v>45986</v>
      </c>
      <c r="B635" s="2" t="s">
        <v>635</v>
      </c>
      <c r="C635" s="3" t="str">
        <f t="shared" si="27"/>
        <v/>
      </c>
      <c r="D635" s="3" t="str">
        <f t="shared" si="28"/>
        <v>zuper-sdk</v>
      </c>
      <c r="E635" s="3" t="str">
        <f t="shared" si="29"/>
        <v>v1.0.57</v>
      </c>
      <c r="F635" t="str">
        <f>IF(COUNTIFS('[1]25 November'!$E:$E,$D635)&gt;0, "NEW FINDING", IF(COUNTIFS('[1]20 September New Socket'!E:E,$D635)&gt;0,"PREVOUS REPORT","N/A"))</f>
        <v>NEW FINDING</v>
      </c>
    </row>
    <row r="636" spans="1:6" x14ac:dyDescent="0.2">
      <c r="A636" s="1">
        <v>45986</v>
      </c>
      <c r="B636" s="2" t="s">
        <v>636</v>
      </c>
      <c r="C636" s="3" t="str">
        <f t="shared" si="27"/>
        <v/>
      </c>
      <c r="D636" s="3" t="str">
        <f t="shared" si="28"/>
        <v>zuper-stream</v>
      </c>
      <c r="E636" s="3" t="str">
        <f t="shared" si="29"/>
        <v>v2.0.9</v>
      </c>
      <c r="F636" t="str">
        <f>IF(COUNTIFS('[1]25 November'!$E:$E,$D636)&gt;0, "NEW FINDING", IF(COUNTIFS('[1]20 September New Socket'!E:E,$D636)&gt;0,"PREVOUS REPORT","N/A"))</f>
        <v>NEW FINDING</v>
      </c>
    </row>
    <row r="637" spans="1:6" x14ac:dyDescent="0.2">
      <c r="A637" s="1">
        <v>45986</v>
      </c>
      <c r="B637" s="2" t="s">
        <v>637</v>
      </c>
      <c r="C637" s="3" t="str">
        <f t="shared" si="27"/>
        <v>@alexcolls</v>
      </c>
      <c r="D637" s="3" t="str">
        <f t="shared" si="28"/>
        <v>nuxt-socket.io</v>
      </c>
      <c r="E637" s="3" t="str">
        <f t="shared" si="29"/>
        <v>v0.0.7</v>
      </c>
      <c r="F637" t="str">
        <f>IF(COUNTIFS('[1]25 November'!$E:$E,$D637)&gt;0, "NEW FINDING", IF(COUNTIFS('[1]20 September New Socket'!E:E,$D637)&gt;0,"PREVOUS REPORT","N/A"))</f>
        <v>NEW FINDING</v>
      </c>
    </row>
    <row r="638" spans="1:6" x14ac:dyDescent="0.2">
      <c r="A638" s="1">
        <v>45986</v>
      </c>
      <c r="B638" s="2" t="s">
        <v>638</v>
      </c>
      <c r="C638" s="3" t="str">
        <f t="shared" si="27"/>
        <v>@alexcolls</v>
      </c>
      <c r="D638" s="3" t="str">
        <f t="shared" si="28"/>
        <v>nuxt-socket.io</v>
      </c>
      <c r="E638" s="3" t="str">
        <f t="shared" si="29"/>
        <v>v0.0.8</v>
      </c>
      <c r="F638" t="str">
        <f>IF(COUNTIFS('[1]25 November'!$E:$E,$D638)&gt;0, "NEW FINDING", IF(COUNTIFS('[1]20 September New Socket'!E:E,$D638)&gt;0,"PREVOUS REPORT","N/A"))</f>
        <v>NEW FINDING</v>
      </c>
    </row>
    <row r="639" spans="1:6" x14ac:dyDescent="0.2">
      <c r="A639" s="1">
        <v>45986</v>
      </c>
      <c r="B639" s="4" t="s">
        <v>639</v>
      </c>
      <c r="C639" s="3" t="str">
        <f t="shared" si="27"/>
        <v>@alexcolls</v>
      </c>
      <c r="D639" s="3" t="str">
        <f t="shared" si="28"/>
        <v>nuxt-ux</v>
      </c>
      <c r="E639" s="3" t="str">
        <f t="shared" si="29"/>
        <v>v0.6.1</v>
      </c>
      <c r="F639" t="str">
        <f>IF(COUNTIFS('[1]25 November'!$E:$E,$D639)&gt;0, "NEW FINDING", IF(COUNTIFS('[1]20 September New Socket'!E:E,$D639)&gt;0,"PREVOUS REPORT","N/A"))</f>
        <v>NEW FINDING</v>
      </c>
    </row>
    <row r="640" spans="1:6" x14ac:dyDescent="0.2">
      <c r="A640" s="1">
        <v>45986</v>
      </c>
      <c r="B640" s="4" t="s">
        <v>640</v>
      </c>
      <c r="C640" s="3" t="str">
        <f t="shared" si="27"/>
        <v>@alexcolls</v>
      </c>
      <c r="D640" s="3" t="str">
        <f t="shared" si="28"/>
        <v>nuxt-ux</v>
      </c>
      <c r="E640" s="3" t="str">
        <f t="shared" si="29"/>
        <v>v0.6.2</v>
      </c>
      <c r="F640" t="str">
        <f>IF(COUNTIFS('[1]25 November'!$E:$E,$D640)&gt;0, "NEW FINDING", IF(COUNTIFS('[1]20 September New Socket'!E:E,$D640)&gt;0,"PREVOUS REPORT","N/A"))</f>
        <v>NEW FINDING</v>
      </c>
    </row>
    <row r="641" spans="1:6" x14ac:dyDescent="0.2">
      <c r="A641" s="1">
        <v>45986</v>
      </c>
      <c r="B641" s="4" t="s">
        <v>641</v>
      </c>
      <c r="C641" s="3" t="str">
        <f t="shared" ref="C641:C704" si="30">IF(LEFT(B641,1)="@",LEFT(B641,FIND("/",B641)-1),"")</f>
        <v>@asyncapi</v>
      </c>
      <c r="D641" s="3" t="str">
        <f t="shared" ref="D641:D704" si="31">IF(LEFT(B641,1)="@",
    MID(
        B641,
        FIND("/",B641)+1,
        IFERROR(
            FIND("@",B641,FIND("/",B641)+1) - FIND("/",B641) - 1,
            LEN(B641) - FIND("/",B641)
        )
    ),
    IFERROR(LEFT(B641,FIND("@",B641)-1), B641)
)</f>
        <v>bundler</v>
      </c>
      <c r="E641" s="3" t="str">
        <f t="shared" ref="E641:E704" si="32">RIGHT(B641,LEN(B641)-FIND("@",B641,LEN(B641)-LEN(SUBSTITUTE(B641,"@",""))+1))</f>
        <v>v0.6.5</v>
      </c>
      <c r="F641" t="str">
        <f>IF(COUNTIFS('[1]25 November'!$E:$E,$D641)&gt;0, "NEW FINDING", IF(COUNTIFS('[1]20 September New Socket'!E:E,$D641)&gt;0,"PREVOUS REPORT","N/A"))</f>
        <v>NEW FINDING</v>
      </c>
    </row>
    <row r="642" spans="1:6" x14ac:dyDescent="0.2">
      <c r="A642" s="1">
        <v>45986</v>
      </c>
      <c r="B642" s="4" t="s">
        <v>642</v>
      </c>
      <c r="C642" s="3" t="str">
        <f t="shared" si="30"/>
        <v>@asyncapi</v>
      </c>
      <c r="D642" s="3" t="str">
        <f t="shared" si="31"/>
        <v>markdown-template</v>
      </c>
      <c r="E642" s="3" t="str">
        <f t="shared" si="32"/>
        <v>v1.6.8</v>
      </c>
      <c r="F642" t="str">
        <f>IF(COUNTIFS('[1]25 November'!$E:$E,$D642)&gt;0, "NEW FINDING", IF(COUNTIFS('[1]20 September New Socket'!E:E,$D642)&gt;0,"PREVOUS REPORT","N/A"))</f>
        <v>NEW FINDING</v>
      </c>
    </row>
    <row r="643" spans="1:6" x14ac:dyDescent="0.2">
      <c r="A643" s="1">
        <v>45986</v>
      </c>
      <c r="B643" s="4" t="s">
        <v>643</v>
      </c>
      <c r="C643" s="3" t="str">
        <f t="shared" si="30"/>
        <v>@asyncapi</v>
      </c>
      <c r="D643" s="3" t="str">
        <f t="shared" si="31"/>
        <v>markdown-template</v>
      </c>
      <c r="E643" s="3" t="str">
        <f t="shared" si="32"/>
        <v>v1.6.9</v>
      </c>
      <c r="F643" t="str">
        <f>IF(COUNTIFS('[1]25 November'!$E:$E,$D643)&gt;0, "NEW FINDING", IF(COUNTIFS('[1]20 September New Socket'!E:E,$D643)&gt;0,"PREVOUS REPORT","N/A"))</f>
        <v>NEW FINDING</v>
      </c>
    </row>
    <row r="644" spans="1:6" x14ac:dyDescent="0.2">
      <c r="A644" s="1">
        <v>45986</v>
      </c>
      <c r="B644" s="4" t="s">
        <v>644</v>
      </c>
      <c r="C644" s="3" t="str">
        <f t="shared" si="30"/>
        <v>@asyncapi</v>
      </c>
      <c r="D644" s="3" t="str">
        <f t="shared" si="31"/>
        <v>protobuf-schema-parser</v>
      </c>
      <c r="E644" s="3" t="str">
        <f t="shared" si="32"/>
        <v>v3.5.2</v>
      </c>
      <c r="F644" t="str">
        <f>IF(COUNTIFS('[1]25 November'!$E:$E,$D644)&gt;0, "NEW FINDING", IF(COUNTIFS('[1]20 September New Socket'!E:E,$D644)&gt;0,"PREVOUS REPORT","N/A"))</f>
        <v>NEW FINDING</v>
      </c>
    </row>
    <row r="645" spans="1:6" x14ac:dyDescent="0.2">
      <c r="A645" s="1">
        <v>45986</v>
      </c>
      <c r="B645" s="4" t="s">
        <v>645</v>
      </c>
      <c r="C645" s="3" t="str">
        <f t="shared" si="30"/>
        <v>@asyncapi</v>
      </c>
      <c r="D645" s="3" t="str">
        <f t="shared" si="31"/>
        <v>protobuf-schema-parser</v>
      </c>
      <c r="E645" s="3" t="str">
        <f t="shared" si="32"/>
        <v>v3.6.1</v>
      </c>
      <c r="F645" t="str">
        <f>IF(COUNTIFS('[1]25 November'!$E:$E,$D645)&gt;0, "NEW FINDING", IF(COUNTIFS('[1]20 September New Socket'!E:E,$D645)&gt;0,"PREVOUS REPORT","N/A"))</f>
        <v>NEW FINDING</v>
      </c>
    </row>
    <row r="646" spans="1:6" x14ac:dyDescent="0.2">
      <c r="A646" s="1">
        <v>45986</v>
      </c>
      <c r="B646" s="4" t="s">
        <v>646</v>
      </c>
      <c r="C646" s="3" t="str">
        <f t="shared" si="30"/>
        <v>@asyncapi</v>
      </c>
      <c r="D646" s="3" t="str">
        <f t="shared" si="31"/>
        <v>specs</v>
      </c>
      <c r="E646" s="3" t="str">
        <f t="shared" si="32"/>
        <v>v6.8.2</v>
      </c>
      <c r="F646" t="str">
        <f>IF(COUNTIFS('[1]25 November'!$E:$E,$D646)&gt;0, "NEW FINDING", IF(COUNTIFS('[1]20 September New Socket'!E:E,$D646)&gt;0,"PREVOUS REPORT","N/A"))</f>
        <v>NEW FINDING</v>
      </c>
    </row>
    <row r="647" spans="1:6" x14ac:dyDescent="0.2">
      <c r="A647" s="1">
        <v>45986</v>
      </c>
      <c r="B647" s="4" t="s">
        <v>647</v>
      </c>
      <c r="C647" s="3" t="str">
        <f t="shared" si="30"/>
        <v>@asyncapi</v>
      </c>
      <c r="D647" s="3" t="str">
        <f t="shared" si="31"/>
        <v>specs</v>
      </c>
      <c r="E647" s="3" t="str">
        <f t="shared" si="32"/>
        <v>v6.9.1</v>
      </c>
      <c r="F647" t="str">
        <f>IF(COUNTIFS('[1]25 November'!$E:$E,$D647)&gt;0, "NEW FINDING", IF(COUNTIFS('[1]20 September New Socket'!E:E,$D647)&gt;0,"PREVOUS REPORT","N/A"))</f>
        <v>NEW FINDING</v>
      </c>
    </row>
    <row r="648" spans="1:6" x14ac:dyDescent="0.2">
      <c r="A648" s="1">
        <v>45986</v>
      </c>
      <c r="B648" s="4" t="s">
        <v>648</v>
      </c>
      <c r="C648" s="3" t="str">
        <f t="shared" si="30"/>
        <v>@asyncapi</v>
      </c>
      <c r="D648" s="3" t="str">
        <f t="shared" si="31"/>
        <v>specs</v>
      </c>
      <c r="E648" s="3" t="str">
        <f t="shared" si="32"/>
        <v>v6.10.1</v>
      </c>
      <c r="F648" t="str">
        <f>IF(COUNTIFS('[1]25 November'!$E:$E,$D648)&gt;0, "NEW FINDING", IF(COUNTIFS('[1]20 September New Socket'!E:E,$D648)&gt;0,"PREVOUS REPORT","N/A"))</f>
        <v>NEW FINDING</v>
      </c>
    </row>
    <row r="649" spans="1:6" x14ac:dyDescent="0.2">
      <c r="B649" s="4" t="s">
        <v>649</v>
      </c>
      <c r="C649" s="3" t="str">
        <f t="shared" si="30"/>
        <v>@everreal</v>
      </c>
      <c r="D649" s="3" t="str">
        <f t="shared" si="31"/>
        <v>validate-esmoduleinterop-imports</v>
      </c>
      <c r="E649" s="3" t="str">
        <f t="shared" si="32"/>
        <v>v1.4.4</v>
      </c>
      <c r="F649" t="str">
        <f>IF(COUNTIFS('[1]25 November'!$E:$E,$D649)&gt;0, "NEW FINDING", IF(COUNTIFS('[1]20 September New Socket'!E:E,$D649)&gt;0,"PREVOUS REPORT","N/A"))</f>
        <v>N/A</v>
      </c>
    </row>
    <row r="650" spans="1:6" x14ac:dyDescent="0.2">
      <c r="B650" s="4" t="s">
        <v>650</v>
      </c>
      <c r="C650" s="3" t="str">
        <f t="shared" si="30"/>
        <v>@everreal</v>
      </c>
      <c r="D650" s="3" t="str">
        <f t="shared" si="31"/>
        <v>validate-esmoduleinterop-imports</v>
      </c>
      <c r="E650" s="3" t="str">
        <f t="shared" si="32"/>
        <v>v1.4.5</v>
      </c>
      <c r="F650" t="str">
        <f>IF(COUNTIFS('[1]25 November'!$E:$E,$D650)&gt;0, "NEW FINDING", IF(COUNTIFS('[1]20 September New Socket'!E:E,$D650)&gt;0,"PREVOUS REPORT","N/A"))</f>
        <v>N/A</v>
      </c>
    </row>
    <row r="651" spans="1:6" x14ac:dyDescent="0.2">
      <c r="A651" s="1">
        <v>45986</v>
      </c>
      <c r="B651" s="4" t="s">
        <v>651</v>
      </c>
      <c r="C651" s="3" t="str">
        <f t="shared" si="30"/>
        <v>@everreal</v>
      </c>
      <c r="D651" s="3" t="str">
        <f t="shared" si="31"/>
        <v>web-analytics</v>
      </c>
      <c r="E651" s="3" t="str">
        <f t="shared" si="32"/>
        <v>v0.0.1</v>
      </c>
      <c r="F651" t="str">
        <f>IF(COUNTIFS('[1]25 November'!$E:$E,$D651)&gt;0, "NEW FINDING", IF(COUNTIFS('[1]20 September New Socket'!E:E,$D651)&gt;0,"PREVOUS REPORT","N/A"))</f>
        <v>NEW FINDING</v>
      </c>
    </row>
    <row r="652" spans="1:6" x14ac:dyDescent="0.2">
      <c r="A652" s="1">
        <v>45986</v>
      </c>
      <c r="B652" s="4" t="s">
        <v>652</v>
      </c>
      <c r="C652" s="3" t="str">
        <f t="shared" si="30"/>
        <v>@everreal</v>
      </c>
      <c r="D652" s="3" t="str">
        <f t="shared" si="31"/>
        <v>web-analytics</v>
      </c>
      <c r="E652" s="3" t="str">
        <f t="shared" si="32"/>
        <v>v0.0.2</v>
      </c>
      <c r="F652" t="str">
        <f>IF(COUNTIFS('[1]25 November'!$E:$E,$D652)&gt;0, "NEW FINDING", IF(COUNTIFS('[1]20 September New Socket'!E:E,$D652)&gt;0,"PREVOUS REPORT","N/A"))</f>
        <v>NEW FINDING</v>
      </c>
    </row>
    <row r="653" spans="1:6" x14ac:dyDescent="0.2">
      <c r="A653" s="1">
        <v>45986</v>
      </c>
      <c r="B653" s="4" t="s">
        <v>653</v>
      </c>
      <c r="C653" s="3" t="str">
        <f t="shared" si="30"/>
        <v>@lessondesk</v>
      </c>
      <c r="D653" s="3" t="str">
        <f t="shared" si="31"/>
        <v>schoolbus</v>
      </c>
      <c r="E653" s="3" t="str">
        <f t="shared" si="32"/>
        <v>v5.2.2</v>
      </c>
      <c r="F653" t="str">
        <f>IF(COUNTIFS('[1]25 November'!$E:$E,$D653)&gt;0, "NEW FINDING", IF(COUNTIFS('[1]20 September New Socket'!E:E,$D653)&gt;0,"PREVOUS REPORT","N/A"))</f>
        <v>NEW FINDING</v>
      </c>
    </row>
    <row r="654" spans="1:6" x14ac:dyDescent="0.2">
      <c r="A654" s="1">
        <v>45986</v>
      </c>
      <c r="B654" s="4" t="s">
        <v>654</v>
      </c>
      <c r="C654" s="3" t="str">
        <f t="shared" si="30"/>
        <v>@lessondesk</v>
      </c>
      <c r="D654" s="3" t="str">
        <f t="shared" si="31"/>
        <v>schoolbus</v>
      </c>
      <c r="E654" s="3" t="str">
        <f t="shared" si="32"/>
        <v>v5.2.3</v>
      </c>
      <c r="F654" t="str">
        <f>IF(COUNTIFS('[1]25 November'!$E:$E,$D654)&gt;0, "NEW FINDING", IF(COUNTIFS('[1]20 September New Socket'!E:E,$D654)&gt;0,"PREVOUS REPORT","N/A"))</f>
        <v>NEW FINDING</v>
      </c>
    </row>
    <row r="655" spans="1:6" x14ac:dyDescent="0.2">
      <c r="A655" s="1">
        <v>45986</v>
      </c>
      <c r="B655" s="4" t="s">
        <v>655</v>
      </c>
      <c r="C655" s="3" t="str">
        <f t="shared" si="30"/>
        <v>@markvivanco</v>
      </c>
      <c r="D655" s="3" t="str">
        <f t="shared" si="31"/>
        <v>app-version-checker</v>
      </c>
      <c r="E655" s="3" t="str">
        <f t="shared" si="32"/>
        <v>v1.0.1</v>
      </c>
      <c r="F655" t="str">
        <f>IF(COUNTIFS('[1]25 November'!$E:$E,$D655)&gt;0, "NEW FINDING", IF(COUNTIFS('[1]20 September New Socket'!E:E,$D655)&gt;0,"PREVOUS REPORT","N/A"))</f>
        <v>NEW FINDING</v>
      </c>
    </row>
    <row r="656" spans="1:6" x14ac:dyDescent="0.2">
      <c r="A656" s="1">
        <v>45986</v>
      </c>
      <c r="B656" s="4" t="s">
        <v>656</v>
      </c>
      <c r="C656" s="3" t="str">
        <f t="shared" si="30"/>
        <v>@markvivanco</v>
      </c>
      <c r="D656" s="3" t="str">
        <f t="shared" si="31"/>
        <v>app-version-checker</v>
      </c>
      <c r="E656" s="3" t="str">
        <f t="shared" si="32"/>
        <v>v1.0.2</v>
      </c>
      <c r="F656" t="str">
        <f>IF(COUNTIFS('[1]25 November'!$E:$E,$D656)&gt;0, "NEW FINDING", IF(COUNTIFS('[1]20 September New Socket'!E:E,$D656)&gt;0,"PREVOUS REPORT","N/A"))</f>
        <v>NEW FINDING</v>
      </c>
    </row>
    <row r="657" spans="1:6" x14ac:dyDescent="0.2">
      <c r="A657" s="1">
        <v>45986</v>
      </c>
      <c r="B657" s="4" t="s">
        <v>657</v>
      </c>
      <c r="C657" s="3" t="str">
        <f t="shared" si="30"/>
        <v>@mcp-use</v>
      </c>
      <c r="D657" s="3" t="str">
        <f t="shared" si="31"/>
        <v>cli</v>
      </c>
      <c r="E657" s="3" t="str">
        <f t="shared" si="32"/>
        <v>v2.2.6</v>
      </c>
      <c r="F657" t="str">
        <f>IF(COUNTIFS('[1]25 November'!$E:$E,$D657)&gt;0, "NEW FINDING", IF(COUNTIFS('[1]20 September New Socket'!E:E,$D657)&gt;0,"PREVOUS REPORT","N/A"))</f>
        <v>NEW FINDING</v>
      </c>
    </row>
    <row r="658" spans="1:6" x14ac:dyDescent="0.2">
      <c r="A658" s="1">
        <v>45986</v>
      </c>
      <c r="B658" s="4" t="s">
        <v>658</v>
      </c>
      <c r="C658" s="3" t="str">
        <f t="shared" si="30"/>
        <v>@mcp-use</v>
      </c>
      <c r="D658" s="3" t="str">
        <f t="shared" si="31"/>
        <v>cli</v>
      </c>
      <c r="E658" s="3" t="str">
        <f t="shared" si="32"/>
        <v>v2.2.7</v>
      </c>
      <c r="F658" t="str">
        <f>IF(COUNTIFS('[1]25 November'!$E:$E,$D658)&gt;0, "NEW FINDING", IF(COUNTIFS('[1]20 September New Socket'!E:E,$D658)&gt;0,"PREVOUS REPORT","N/A"))</f>
        <v>NEW FINDING</v>
      </c>
    </row>
    <row r="659" spans="1:6" x14ac:dyDescent="0.2">
      <c r="A659" s="1">
        <v>45986</v>
      </c>
      <c r="B659" s="4" t="s">
        <v>659</v>
      </c>
      <c r="C659" s="3" t="str">
        <f t="shared" si="30"/>
        <v>@mcp-use</v>
      </c>
      <c r="D659" s="3" t="str">
        <f t="shared" si="31"/>
        <v>inspector</v>
      </c>
      <c r="E659" s="3" t="str">
        <f t="shared" si="32"/>
        <v>v0.6.2</v>
      </c>
      <c r="F659" t="str">
        <f>IF(COUNTIFS('[1]25 November'!$E:$E,$D659)&gt;0, "NEW FINDING", IF(COUNTIFS('[1]20 September New Socket'!E:E,$D659)&gt;0,"PREVOUS REPORT","N/A"))</f>
        <v>NEW FINDING</v>
      </c>
    </row>
    <row r="660" spans="1:6" x14ac:dyDescent="0.2">
      <c r="A660" s="1">
        <v>45986</v>
      </c>
      <c r="B660" s="4" t="s">
        <v>660</v>
      </c>
      <c r="C660" s="3" t="str">
        <f t="shared" si="30"/>
        <v>@mcp-use</v>
      </c>
      <c r="D660" s="3" t="str">
        <f t="shared" si="31"/>
        <v>inspector</v>
      </c>
      <c r="E660" s="3" t="str">
        <f t="shared" si="32"/>
        <v>v0.6.3</v>
      </c>
      <c r="F660" t="str">
        <f>IF(COUNTIFS('[1]25 November'!$E:$E,$D660)&gt;0, "NEW FINDING", IF(COUNTIFS('[1]20 September New Socket'!E:E,$D660)&gt;0,"PREVOUS REPORT","N/A"))</f>
        <v>NEW FINDING</v>
      </c>
    </row>
    <row r="661" spans="1:6" x14ac:dyDescent="0.2">
      <c r="A661" s="1">
        <v>45986</v>
      </c>
      <c r="B661" s="4" t="s">
        <v>661</v>
      </c>
      <c r="C661" s="3" t="str">
        <f t="shared" si="30"/>
        <v>@mcp-use</v>
      </c>
      <c r="D661" s="3" t="str">
        <f t="shared" si="31"/>
        <v>mcp-use</v>
      </c>
      <c r="E661" s="3" t="str">
        <f t="shared" si="32"/>
        <v>v1.0.1</v>
      </c>
      <c r="F661" t="str">
        <f>IF(COUNTIFS('[1]25 November'!$E:$E,$D661)&gt;0, "NEW FINDING", IF(COUNTIFS('[1]20 September New Socket'!E:E,$D661)&gt;0,"PREVOUS REPORT","N/A"))</f>
        <v>NEW FINDING</v>
      </c>
    </row>
    <row r="662" spans="1:6" x14ac:dyDescent="0.2">
      <c r="A662" s="1">
        <v>45986</v>
      </c>
      <c r="B662" s="4" t="s">
        <v>662</v>
      </c>
      <c r="C662" s="3" t="str">
        <f t="shared" si="30"/>
        <v>@mcp-use</v>
      </c>
      <c r="D662" s="3" t="str">
        <f t="shared" si="31"/>
        <v>mcp-use</v>
      </c>
      <c r="E662" s="3" t="str">
        <f t="shared" si="32"/>
        <v>v1.0.2</v>
      </c>
      <c r="F662" t="str">
        <f>IF(COUNTIFS('[1]25 November'!$E:$E,$D662)&gt;0, "NEW FINDING", IF(COUNTIFS('[1]20 September New Socket'!E:E,$D662)&gt;0,"PREVOUS REPORT","N/A"))</f>
        <v>NEW FINDING</v>
      </c>
    </row>
    <row r="663" spans="1:6" x14ac:dyDescent="0.2">
      <c r="A663" s="1">
        <v>45986</v>
      </c>
      <c r="B663" s="4" t="s">
        <v>663</v>
      </c>
      <c r="C663" s="3" t="str">
        <f t="shared" si="30"/>
        <v>@postman</v>
      </c>
      <c r="D663" s="3" t="str">
        <f t="shared" si="31"/>
        <v>aether-icons</v>
      </c>
      <c r="E663" s="3" t="str">
        <f t="shared" si="32"/>
        <v>v2.23.2</v>
      </c>
      <c r="F663" t="str">
        <f>IF(COUNTIFS('[1]25 November'!$E:$E,$D663)&gt;0, "NEW FINDING", IF(COUNTIFS('[1]20 September New Socket'!E:E,$D663)&gt;0,"PREVOUS REPORT","N/A"))</f>
        <v>NEW FINDING</v>
      </c>
    </row>
    <row r="664" spans="1:6" x14ac:dyDescent="0.2">
      <c r="A664" s="1">
        <v>45986</v>
      </c>
      <c r="B664" s="4" t="s">
        <v>664</v>
      </c>
      <c r="C664" s="3" t="str">
        <f t="shared" si="30"/>
        <v>@postman</v>
      </c>
      <c r="D664" s="3" t="str">
        <f t="shared" si="31"/>
        <v>aether-icons</v>
      </c>
      <c r="E664" s="3" t="str">
        <f t="shared" si="32"/>
        <v>v2.23.3</v>
      </c>
      <c r="F664" t="str">
        <f>IF(COUNTIFS('[1]25 November'!$E:$E,$D664)&gt;0, "NEW FINDING", IF(COUNTIFS('[1]20 September New Socket'!E:E,$D664)&gt;0,"PREVOUS REPORT","N/A"))</f>
        <v>NEW FINDING</v>
      </c>
    </row>
    <row r="665" spans="1:6" x14ac:dyDescent="0.2">
      <c r="A665" s="1">
        <v>45986</v>
      </c>
      <c r="B665" s="4" t="s">
        <v>665</v>
      </c>
      <c r="C665" s="3" t="str">
        <f t="shared" si="30"/>
        <v>@postman</v>
      </c>
      <c r="D665" s="3" t="str">
        <f t="shared" si="31"/>
        <v>aether-icons</v>
      </c>
      <c r="E665" s="3" t="str">
        <f t="shared" si="32"/>
        <v>v2.23.4</v>
      </c>
      <c r="F665" t="str">
        <f>IF(COUNTIFS('[1]25 November'!$E:$E,$D665)&gt;0, "NEW FINDING", IF(COUNTIFS('[1]20 September New Socket'!E:E,$D665)&gt;0,"PREVOUS REPORT","N/A"))</f>
        <v>NEW FINDING</v>
      </c>
    </row>
    <row r="666" spans="1:6" x14ac:dyDescent="0.2">
      <c r="A666" s="1">
        <v>45986</v>
      </c>
      <c r="B666" s="4" t="s">
        <v>666</v>
      </c>
      <c r="C666" s="3" t="str">
        <f t="shared" si="30"/>
        <v>@postman</v>
      </c>
      <c r="D666" s="3" t="str">
        <f t="shared" si="31"/>
        <v>csv-parse</v>
      </c>
      <c r="E666" s="3" t="str">
        <f t="shared" si="32"/>
        <v>v4.0.3</v>
      </c>
      <c r="F666" t="str">
        <f>IF(COUNTIFS('[1]25 November'!$E:$E,$D666)&gt;0, "NEW FINDING", IF(COUNTIFS('[1]20 September New Socket'!E:E,$D666)&gt;0,"PREVOUS REPORT","N/A"))</f>
        <v>NEW FINDING</v>
      </c>
    </row>
    <row r="667" spans="1:6" x14ac:dyDescent="0.2">
      <c r="A667" s="1">
        <v>45986</v>
      </c>
      <c r="B667" s="4" t="s">
        <v>667</v>
      </c>
      <c r="C667" s="3" t="str">
        <f t="shared" si="30"/>
        <v>@postman</v>
      </c>
      <c r="D667" s="3" t="str">
        <f t="shared" si="31"/>
        <v>csv-parse</v>
      </c>
      <c r="E667" s="3" t="str">
        <f t="shared" si="32"/>
        <v>v4.0.4</v>
      </c>
      <c r="F667" t="str">
        <f>IF(COUNTIFS('[1]25 November'!$E:$E,$D667)&gt;0, "NEW FINDING", IF(COUNTIFS('[1]20 September New Socket'!E:E,$D667)&gt;0,"PREVOUS REPORT","N/A"))</f>
        <v>NEW FINDING</v>
      </c>
    </row>
    <row r="668" spans="1:6" x14ac:dyDescent="0.2">
      <c r="A668" s="1">
        <v>45986</v>
      </c>
      <c r="B668" s="4" t="s">
        <v>668</v>
      </c>
      <c r="C668" s="3" t="str">
        <f t="shared" si="30"/>
        <v>@postman</v>
      </c>
      <c r="D668" s="3" t="str">
        <f t="shared" si="31"/>
        <v>csv-parse</v>
      </c>
      <c r="E668" s="3" t="str">
        <f t="shared" si="32"/>
        <v>v4.0.5</v>
      </c>
      <c r="F668" t="str">
        <f>IF(COUNTIFS('[1]25 November'!$E:$E,$D668)&gt;0, "NEW FINDING", IF(COUNTIFS('[1]20 September New Socket'!E:E,$D668)&gt;0,"PREVOUS REPORT","N/A"))</f>
        <v>NEW FINDING</v>
      </c>
    </row>
    <row r="669" spans="1:6" x14ac:dyDescent="0.2">
      <c r="A669" s="1">
        <v>45986</v>
      </c>
      <c r="B669" s="4" t="s">
        <v>669</v>
      </c>
      <c r="C669" s="3" t="str">
        <f t="shared" si="30"/>
        <v>@postman</v>
      </c>
      <c r="D669" s="3" t="str">
        <f t="shared" si="31"/>
        <v>final-node-keytar</v>
      </c>
      <c r="E669" s="3" t="str">
        <f t="shared" si="32"/>
        <v>v7.9.1</v>
      </c>
      <c r="F669" t="str">
        <f>IF(COUNTIFS('[1]25 November'!$E:$E,$D669)&gt;0, "NEW FINDING", IF(COUNTIFS('[1]20 September New Socket'!E:E,$D669)&gt;0,"PREVOUS REPORT","N/A"))</f>
        <v>NEW FINDING</v>
      </c>
    </row>
    <row r="670" spans="1:6" x14ac:dyDescent="0.2">
      <c r="A670" s="1">
        <v>45986</v>
      </c>
      <c r="B670" s="4" t="s">
        <v>670</v>
      </c>
      <c r="C670" s="3" t="str">
        <f t="shared" si="30"/>
        <v>@postman</v>
      </c>
      <c r="D670" s="3" t="str">
        <f t="shared" si="31"/>
        <v>final-node-keytar</v>
      </c>
      <c r="E670" s="3" t="str">
        <f t="shared" si="32"/>
        <v>v7.9.2</v>
      </c>
      <c r="F670" t="str">
        <f>IF(COUNTIFS('[1]25 November'!$E:$E,$D670)&gt;0, "NEW FINDING", IF(COUNTIFS('[1]20 September New Socket'!E:E,$D670)&gt;0,"PREVOUS REPORT","N/A"))</f>
        <v>NEW FINDING</v>
      </c>
    </row>
    <row r="671" spans="1:6" x14ac:dyDescent="0.2">
      <c r="A671" s="1">
        <v>45986</v>
      </c>
      <c r="B671" s="4" t="s">
        <v>671</v>
      </c>
      <c r="C671" s="3" t="str">
        <f t="shared" si="30"/>
        <v>@postman</v>
      </c>
      <c r="D671" s="3" t="str">
        <f t="shared" si="31"/>
        <v>final-node-keytar</v>
      </c>
      <c r="E671" s="3" t="str">
        <f t="shared" si="32"/>
        <v>v7.9.3</v>
      </c>
      <c r="F671" t="str">
        <f>IF(COUNTIFS('[1]25 November'!$E:$E,$D671)&gt;0, "NEW FINDING", IF(COUNTIFS('[1]20 September New Socket'!E:E,$D671)&gt;0,"PREVOUS REPORT","N/A"))</f>
        <v>NEW FINDING</v>
      </c>
    </row>
    <row r="672" spans="1:6" x14ac:dyDescent="0.2">
      <c r="A672" s="1">
        <v>45986</v>
      </c>
      <c r="B672" s="4" t="s">
        <v>672</v>
      </c>
      <c r="C672" s="3" t="str">
        <f t="shared" si="30"/>
        <v>@postman</v>
      </c>
      <c r="D672" s="3" t="str">
        <f t="shared" si="31"/>
        <v>mcp-ui-client</v>
      </c>
      <c r="E672" s="3" t="str">
        <f t="shared" si="32"/>
        <v>v5.5.1</v>
      </c>
      <c r="F672" t="str">
        <f>IF(COUNTIFS('[1]25 November'!$E:$E,$D672)&gt;0, "NEW FINDING", IF(COUNTIFS('[1]20 September New Socket'!E:E,$D672)&gt;0,"PREVOUS REPORT","N/A"))</f>
        <v>NEW FINDING</v>
      </c>
    </row>
    <row r="673" spans="1:6" x14ac:dyDescent="0.2">
      <c r="A673" s="1">
        <v>45986</v>
      </c>
      <c r="B673" s="4" t="s">
        <v>673</v>
      </c>
      <c r="C673" s="3" t="str">
        <f t="shared" si="30"/>
        <v>@postman</v>
      </c>
      <c r="D673" s="3" t="str">
        <f t="shared" si="31"/>
        <v>mcp-ui-client</v>
      </c>
      <c r="E673" s="3" t="str">
        <f t="shared" si="32"/>
        <v>v5.5.2</v>
      </c>
      <c r="F673" t="str">
        <f>IF(COUNTIFS('[1]25 November'!$E:$E,$D673)&gt;0, "NEW FINDING", IF(COUNTIFS('[1]20 September New Socket'!E:E,$D673)&gt;0,"PREVOUS REPORT","N/A"))</f>
        <v>NEW FINDING</v>
      </c>
    </row>
    <row r="674" spans="1:6" x14ac:dyDescent="0.2">
      <c r="A674" s="1">
        <v>45986</v>
      </c>
      <c r="B674" s="4" t="s">
        <v>674</v>
      </c>
      <c r="C674" s="3" t="str">
        <f t="shared" si="30"/>
        <v>@postman</v>
      </c>
      <c r="D674" s="3" t="str">
        <f t="shared" si="31"/>
        <v>mcp-ui-client</v>
      </c>
      <c r="E674" s="3" t="str">
        <f t="shared" si="32"/>
        <v>v5.5.3</v>
      </c>
      <c r="F674" t="str">
        <f>IF(COUNTIFS('[1]25 November'!$E:$E,$D674)&gt;0, "NEW FINDING", IF(COUNTIFS('[1]20 September New Socket'!E:E,$D674)&gt;0,"PREVOUS REPORT","N/A"))</f>
        <v>NEW FINDING</v>
      </c>
    </row>
    <row r="675" spans="1:6" x14ac:dyDescent="0.2">
      <c r="A675" s="1">
        <v>45986</v>
      </c>
      <c r="B675" s="4" t="s">
        <v>675</v>
      </c>
      <c r="C675" s="3" t="str">
        <f t="shared" si="30"/>
        <v>@postman</v>
      </c>
      <c r="D675" s="3" t="str">
        <f t="shared" si="31"/>
        <v>node-keytar</v>
      </c>
      <c r="E675" s="3" t="str">
        <f t="shared" si="32"/>
        <v>v7.9.4</v>
      </c>
      <c r="F675" t="str">
        <f>IF(COUNTIFS('[1]25 November'!$E:$E,$D675)&gt;0, "NEW FINDING", IF(COUNTIFS('[1]20 September New Socket'!E:E,$D675)&gt;0,"PREVOUS REPORT","N/A"))</f>
        <v>NEW FINDING</v>
      </c>
    </row>
    <row r="676" spans="1:6" x14ac:dyDescent="0.2">
      <c r="A676" s="1">
        <v>45986</v>
      </c>
      <c r="B676" s="4" t="s">
        <v>676</v>
      </c>
      <c r="C676" s="3" t="str">
        <f t="shared" si="30"/>
        <v>@postman</v>
      </c>
      <c r="D676" s="3" t="str">
        <f t="shared" si="31"/>
        <v>node-keytar</v>
      </c>
      <c r="E676" s="3" t="str">
        <f t="shared" si="32"/>
        <v>v7.9.5</v>
      </c>
      <c r="F676" t="str">
        <f>IF(COUNTIFS('[1]25 November'!$E:$E,$D676)&gt;0, "NEW FINDING", IF(COUNTIFS('[1]20 September New Socket'!E:E,$D676)&gt;0,"PREVOUS REPORT","N/A"))</f>
        <v>NEW FINDING</v>
      </c>
    </row>
    <row r="677" spans="1:6" x14ac:dyDescent="0.2">
      <c r="A677" s="1">
        <v>45986</v>
      </c>
      <c r="B677" s="4" t="s">
        <v>677</v>
      </c>
      <c r="C677" s="3" t="str">
        <f t="shared" si="30"/>
        <v>@postman</v>
      </c>
      <c r="D677" s="3" t="str">
        <f t="shared" si="31"/>
        <v>node-keytar</v>
      </c>
      <c r="E677" s="3" t="str">
        <f t="shared" si="32"/>
        <v>v7.9.6</v>
      </c>
      <c r="F677" t="str">
        <f>IF(COUNTIFS('[1]25 November'!$E:$E,$D677)&gt;0, "NEW FINDING", IF(COUNTIFS('[1]20 September New Socket'!E:E,$D677)&gt;0,"PREVOUS REPORT","N/A"))</f>
        <v>NEW FINDING</v>
      </c>
    </row>
    <row r="678" spans="1:6" x14ac:dyDescent="0.2">
      <c r="A678" s="1">
        <v>45986</v>
      </c>
      <c r="B678" s="4" t="s">
        <v>678</v>
      </c>
      <c r="C678" s="3" t="str">
        <f t="shared" si="30"/>
        <v>@postman</v>
      </c>
      <c r="D678" s="3" t="str">
        <f t="shared" si="31"/>
        <v>pm-bin-linux-x64</v>
      </c>
      <c r="E678" s="3" t="str">
        <f t="shared" si="32"/>
        <v>v1.24.4</v>
      </c>
      <c r="F678" t="str">
        <f>IF(COUNTIFS('[1]25 November'!$E:$E,$D678)&gt;0, "NEW FINDING", IF(COUNTIFS('[1]20 September New Socket'!E:E,$D678)&gt;0,"PREVOUS REPORT","N/A"))</f>
        <v>NEW FINDING</v>
      </c>
    </row>
    <row r="679" spans="1:6" x14ac:dyDescent="0.2">
      <c r="A679" s="1">
        <v>45986</v>
      </c>
      <c r="B679" s="4" t="s">
        <v>679</v>
      </c>
      <c r="C679" s="3" t="str">
        <f t="shared" si="30"/>
        <v>@postman</v>
      </c>
      <c r="D679" s="3" t="str">
        <f t="shared" si="31"/>
        <v>pm-bin-linux-x64</v>
      </c>
      <c r="E679" s="3" t="str">
        <f t="shared" si="32"/>
        <v>v1.24.5</v>
      </c>
      <c r="F679" t="str">
        <f>IF(COUNTIFS('[1]25 November'!$E:$E,$D679)&gt;0, "NEW FINDING", IF(COUNTIFS('[1]20 September New Socket'!E:E,$D679)&gt;0,"PREVOUS REPORT","N/A"))</f>
        <v>NEW FINDING</v>
      </c>
    </row>
    <row r="680" spans="1:6" x14ac:dyDescent="0.2">
      <c r="A680" s="1">
        <v>45986</v>
      </c>
      <c r="B680" s="4" t="s">
        <v>680</v>
      </c>
      <c r="C680" s="3" t="str">
        <f t="shared" si="30"/>
        <v>@postman</v>
      </c>
      <c r="D680" s="3" t="str">
        <f t="shared" si="31"/>
        <v>pm-bin-macos-arm64</v>
      </c>
      <c r="E680" s="3" t="str">
        <f t="shared" si="32"/>
        <v>v1.24.3</v>
      </c>
      <c r="F680" t="str">
        <f>IF(COUNTIFS('[1]25 November'!$E:$E,$D680)&gt;0, "NEW FINDING", IF(COUNTIFS('[1]20 September New Socket'!E:E,$D680)&gt;0,"PREVOUS REPORT","N/A"))</f>
        <v>NEW FINDING</v>
      </c>
    </row>
    <row r="681" spans="1:6" x14ac:dyDescent="0.2">
      <c r="A681" s="1">
        <v>45986</v>
      </c>
      <c r="B681" s="4" t="s">
        <v>681</v>
      </c>
      <c r="C681" s="3" t="str">
        <f t="shared" si="30"/>
        <v>@postman</v>
      </c>
      <c r="D681" s="3" t="str">
        <f t="shared" si="31"/>
        <v>pm-bin-macos-arm64</v>
      </c>
      <c r="E681" s="3" t="str">
        <f t="shared" si="32"/>
        <v>v1.24.4</v>
      </c>
      <c r="F681" t="str">
        <f>IF(COUNTIFS('[1]25 November'!$E:$E,$D681)&gt;0, "NEW FINDING", IF(COUNTIFS('[1]20 September New Socket'!E:E,$D681)&gt;0,"PREVOUS REPORT","N/A"))</f>
        <v>NEW FINDING</v>
      </c>
    </row>
    <row r="682" spans="1:6" x14ac:dyDescent="0.2">
      <c r="A682" s="1">
        <v>45986</v>
      </c>
      <c r="B682" s="4" t="s">
        <v>682</v>
      </c>
      <c r="C682" s="3" t="str">
        <f t="shared" si="30"/>
        <v>@postman</v>
      </c>
      <c r="D682" s="3" t="str">
        <f t="shared" si="31"/>
        <v>pm-bin-macos-arm64</v>
      </c>
      <c r="E682" s="3" t="str">
        <f t="shared" si="32"/>
        <v>v1.24.5</v>
      </c>
      <c r="F682" t="str">
        <f>IF(COUNTIFS('[1]25 November'!$E:$E,$D682)&gt;0, "NEW FINDING", IF(COUNTIFS('[1]20 September New Socket'!E:E,$D682)&gt;0,"PREVOUS REPORT","N/A"))</f>
        <v>NEW FINDING</v>
      </c>
    </row>
    <row r="683" spans="1:6" x14ac:dyDescent="0.2">
      <c r="A683" s="1">
        <v>45986</v>
      </c>
      <c r="B683" s="4" t="s">
        <v>683</v>
      </c>
      <c r="C683" s="3" t="str">
        <f t="shared" si="30"/>
        <v>@postman</v>
      </c>
      <c r="D683" s="3" t="str">
        <f t="shared" si="31"/>
        <v>pm-bin-macos-x64</v>
      </c>
      <c r="E683" s="3" t="str">
        <f t="shared" si="32"/>
        <v>v1.24.3</v>
      </c>
      <c r="F683" t="str">
        <f>IF(COUNTIFS('[1]25 November'!$E:$E,$D683)&gt;0, "NEW FINDING", IF(COUNTIFS('[1]20 September New Socket'!E:E,$D683)&gt;0,"PREVOUS REPORT","N/A"))</f>
        <v>NEW FINDING</v>
      </c>
    </row>
    <row r="684" spans="1:6" x14ac:dyDescent="0.2">
      <c r="A684" s="1">
        <v>45986</v>
      </c>
      <c r="B684" s="4" t="s">
        <v>684</v>
      </c>
      <c r="C684" s="3" t="str">
        <f t="shared" si="30"/>
        <v>@postman</v>
      </c>
      <c r="D684" s="3" t="str">
        <f t="shared" si="31"/>
        <v>pm-bin-macos-x64</v>
      </c>
      <c r="E684" s="3" t="str">
        <f t="shared" si="32"/>
        <v>v1.24.4</v>
      </c>
      <c r="F684" t="str">
        <f>IF(COUNTIFS('[1]25 November'!$E:$E,$D684)&gt;0, "NEW FINDING", IF(COUNTIFS('[1]20 September New Socket'!E:E,$D684)&gt;0,"PREVOUS REPORT","N/A"))</f>
        <v>NEW FINDING</v>
      </c>
    </row>
    <row r="685" spans="1:6" x14ac:dyDescent="0.2">
      <c r="A685" s="1">
        <v>45986</v>
      </c>
      <c r="B685" s="4" t="s">
        <v>685</v>
      </c>
      <c r="C685" s="3" t="str">
        <f t="shared" si="30"/>
        <v>@postman</v>
      </c>
      <c r="D685" s="3" t="str">
        <f t="shared" si="31"/>
        <v>pm-bin-windows-x64</v>
      </c>
      <c r="E685" s="3" t="str">
        <f t="shared" si="32"/>
        <v>v1.24.3</v>
      </c>
      <c r="F685" t="str">
        <f>IF(COUNTIFS('[1]25 November'!$E:$E,$D685)&gt;0, "NEW FINDING", IF(COUNTIFS('[1]20 September New Socket'!E:E,$D685)&gt;0,"PREVOUS REPORT","N/A"))</f>
        <v>NEW FINDING</v>
      </c>
    </row>
    <row r="686" spans="1:6" x14ac:dyDescent="0.2">
      <c r="A686" s="1">
        <v>45986</v>
      </c>
      <c r="B686" s="4" t="s">
        <v>686</v>
      </c>
      <c r="C686" s="3" t="str">
        <f t="shared" si="30"/>
        <v>@postman</v>
      </c>
      <c r="D686" s="3" t="str">
        <f t="shared" si="31"/>
        <v>pm-bin-windows-x64</v>
      </c>
      <c r="E686" s="3" t="str">
        <f t="shared" si="32"/>
        <v>v1.24.4</v>
      </c>
      <c r="F686" t="str">
        <f>IF(COUNTIFS('[1]25 November'!$E:$E,$D686)&gt;0, "NEW FINDING", IF(COUNTIFS('[1]20 September New Socket'!E:E,$D686)&gt;0,"PREVOUS REPORT","N/A"))</f>
        <v>NEW FINDING</v>
      </c>
    </row>
    <row r="687" spans="1:6" x14ac:dyDescent="0.2">
      <c r="A687" s="1">
        <v>45986</v>
      </c>
      <c r="B687" s="4" t="s">
        <v>687</v>
      </c>
      <c r="C687" s="3" t="str">
        <f t="shared" si="30"/>
        <v>@postman</v>
      </c>
      <c r="D687" s="3" t="str">
        <f t="shared" si="31"/>
        <v>pm-bin-windows-x64</v>
      </c>
      <c r="E687" s="3" t="str">
        <f t="shared" si="32"/>
        <v>v1.24.5</v>
      </c>
      <c r="F687" t="str">
        <f>IF(COUNTIFS('[1]25 November'!$E:$E,$D687)&gt;0, "NEW FINDING", IF(COUNTIFS('[1]20 September New Socket'!E:E,$D687)&gt;0,"PREVOUS REPORT","N/A"))</f>
        <v>NEW FINDING</v>
      </c>
    </row>
    <row r="688" spans="1:6" x14ac:dyDescent="0.2">
      <c r="A688" s="1">
        <v>45986</v>
      </c>
      <c r="B688" s="4" t="s">
        <v>688</v>
      </c>
      <c r="C688" s="3" t="str">
        <f t="shared" si="30"/>
        <v>@postman</v>
      </c>
      <c r="D688" s="3" t="str">
        <f t="shared" si="31"/>
        <v>postman-collection-fork</v>
      </c>
      <c r="E688" s="3" t="str">
        <f t="shared" si="32"/>
        <v>v4.3.3</v>
      </c>
      <c r="F688" t="str">
        <f>IF(COUNTIFS('[1]25 November'!$E:$E,$D688)&gt;0, "NEW FINDING", IF(COUNTIFS('[1]20 September New Socket'!E:E,$D688)&gt;0,"PREVOUS REPORT","N/A"))</f>
        <v>NEW FINDING</v>
      </c>
    </row>
    <row r="689" spans="1:6" x14ac:dyDescent="0.2">
      <c r="A689" s="1">
        <v>45986</v>
      </c>
      <c r="B689" s="4" t="s">
        <v>689</v>
      </c>
      <c r="C689" s="3" t="str">
        <f t="shared" si="30"/>
        <v>@postman</v>
      </c>
      <c r="D689" s="3" t="str">
        <f t="shared" si="31"/>
        <v>postman-collection-fork</v>
      </c>
      <c r="E689" s="3" t="str">
        <f t="shared" si="32"/>
        <v>v4.3.4</v>
      </c>
      <c r="F689" t="str">
        <f>IF(COUNTIFS('[1]25 November'!$E:$E,$D689)&gt;0, "NEW FINDING", IF(COUNTIFS('[1]20 September New Socket'!E:E,$D689)&gt;0,"PREVOUS REPORT","N/A"))</f>
        <v>NEW FINDING</v>
      </c>
    </row>
    <row r="690" spans="1:6" x14ac:dyDescent="0.2">
      <c r="A690" s="1">
        <v>45986</v>
      </c>
      <c r="B690" s="4" t="s">
        <v>690</v>
      </c>
      <c r="C690" s="3" t="str">
        <f t="shared" si="30"/>
        <v>@postman</v>
      </c>
      <c r="D690" s="3" t="str">
        <f t="shared" si="31"/>
        <v>postman-collection-fork</v>
      </c>
      <c r="E690" s="3" t="str">
        <f t="shared" si="32"/>
        <v>v4.3.5</v>
      </c>
      <c r="F690" t="str">
        <f>IF(COUNTIFS('[1]25 November'!$E:$E,$D690)&gt;0, "NEW FINDING", IF(COUNTIFS('[1]20 September New Socket'!E:E,$D690)&gt;0,"PREVOUS REPORT","N/A"))</f>
        <v>NEW FINDING</v>
      </c>
    </row>
    <row r="691" spans="1:6" x14ac:dyDescent="0.2">
      <c r="A691" s="1">
        <v>45986</v>
      </c>
      <c r="B691" s="4" t="s">
        <v>691</v>
      </c>
      <c r="C691" s="3" t="str">
        <f t="shared" si="30"/>
        <v>@postman</v>
      </c>
      <c r="D691" s="3" t="str">
        <f t="shared" si="31"/>
        <v>postman-mcp-cli</v>
      </c>
      <c r="E691" s="3" t="str">
        <f t="shared" si="32"/>
        <v>v1.0.3</v>
      </c>
      <c r="F691" t="str">
        <f>IF(COUNTIFS('[1]25 November'!$E:$E,$D691)&gt;0, "NEW FINDING", IF(COUNTIFS('[1]20 September New Socket'!E:E,$D691)&gt;0,"PREVOUS REPORT","N/A"))</f>
        <v>NEW FINDING</v>
      </c>
    </row>
    <row r="692" spans="1:6" x14ac:dyDescent="0.2">
      <c r="A692" s="1">
        <v>45986</v>
      </c>
      <c r="B692" s="4" t="s">
        <v>692</v>
      </c>
      <c r="C692" s="3" t="str">
        <f t="shared" si="30"/>
        <v>@postman</v>
      </c>
      <c r="D692" s="3" t="str">
        <f t="shared" si="31"/>
        <v>postman-mcp-cli</v>
      </c>
      <c r="E692" s="3" t="str">
        <f t="shared" si="32"/>
        <v>v1.0.4</v>
      </c>
      <c r="F692" t="str">
        <f>IF(COUNTIFS('[1]25 November'!$E:$E,$D692)&gt;0, "NEW FINDING", IF(COUNTIFS('[1]20 September New Socket'!E:E,$D692)&gt;0,"PREVOUS REPORT","N/A"))</f>
        <v>NEW FINDING</v>
      </c>
    </row>
    <row r="693" spans="1:6" x14ac:dyDescent="0.2">
      <c r="A693" s="1">
        <v>45986</v>
      </c>
      <c r="B693" s="4" t="s">
        <v>693</v>
      </c>
      <c r="C693" s="3" t="str">
        <f t="shared" si="30"/>
        <v>@postman</v>
      </c>
      <c r="D693" s="3" t="str">
        <f t="shared" si="31"/>
        <v>postman-mcp-cli</v>
      </c>
      <c r="E693" s="3" t="str">
        <f t="shared" si="32"/>
        <v>v1.0.5</v>
      </c>
      <c r="F693" t="str">
        <f>IF(COUNTIFS('[1]25 November'!$E:$E,$D693)&gt;0, "NEW FINDING", IF(COUNTIFS('[1]20 September New Socket'!E:E,$D693)&gt;0,"PREVOUS REPORT","N/A"))</f>
        <v>NEW FINDING</v>
      </c>
    </row>
    <row r="694" spans="1:6" x14ac:dyDescent="0.2">
      <c r="A694" s="1">
        <v>45986</v>
      </c>
      <c r="B694" s="4" t="s">
        <v>694</v>
      </c>
      <c r="C694" s="3" t="str">
        <f t="shared" si="30"/>
        <v>@postman</v>
      </c>
      <c r="D694" s="3" t="str">
        <f t="shared" si="31"/>
        <v>postman-mcp-server</v>
      </c>
      <c r="E694" s="3" t="str">
        <f t="shared" si="32"/>
        <v>v2.4.10</v>
      </c>
      <c r="F694" t="str">
        <f>IF(COUNTIFS('[1]25 November'!$E:$E,$D694)&gt;0, "NEW FINDING", IF(COUNTIFS('[1]20 September New Socket'!E:E,$D694)&gt;0,"PREVOUS REPORT","N/A"))</f>
        <v>NEW FINDING</v>
      </c>
    </row>
    <row r="695" spans="1:6" x14ac:dyDescent="0.2">
      <c r="A695" s="1">
        <v>45986</v>
      </c>
      <c r="B695" s="4" t="s">
        <v>695</v>
      </c>
      <c r="C695" s="3" t="str">
        <f t="shared" si="30"/>
        <v>@postman</v>
      </c>
      <c r="D695" s="3" t="str">
        <f t="shared" si="31"/>
        <v>postman-mcp-server</v>
      </c>
      <c r="E695" s="3" t="str">
        <f t="shared" si="32"/>
        <v>v2.4.11</v>
      </c>
      <c r="F695" t="str">
        <f>IF(COUNTIFS('[1]25 November'!$E:$E,$D695)&gt;0, "NEW FINDING", IF(COUNTIFS('[1]20 September New Socket'!E:E,$D695)&gt;0,"PREVOUS REPORT","N/A"))</f>
        <v>NEW FINDING</v>
      </c>
    </row>
    <row r="696" spans="1:6" x14ac:dyDescent="0.2">
      <c r="A696" s="1">
        <v>45986</v>
      </c>
      <c r="B696" s="4" t="s">
        <v>696</v>
      </c>
      <c r="C696" s="3" t="str">
        <f t="shared" si="30"/>
        <v>@postman</v>
      </c>
      <c r="D696" s="3" t="str">
        <f t="shared" si="31"/>
        <v>postman-mcp-server</v>
      </c>
      <c r="E696" s="3" t="str">
        <f t="shared" si="32"/>
        <v>v2.4.12</v>
      </c>
      <c r="F696" t="str">
        <f>IF(COUNTIFS('[1]25 November'!$E:$E,$D696)&gt;0, "NEW FINDING", IF(COUNTIFS('[1]20 September New Socket'!E:E,$D696)&gt;0,"PREVOUS REPORT","N/A"))</f>
        <v>NEW FINDING</v>
      </c>
    </row>
    <row r="697" spans="1:6" x14ac:dyDescent="0.2">
      <c r="A697" s="1">
        <v>45986</v>
      </c>
      <c r="B697" s="4" t="s">
        <v>697</v>
      </c>
      <c r="C697" s="3" t="str">
        <f t="shared" si="30"/>
        <v>@postman</v>
      </c>
      <c r="D697" s="3" t="str">
        <f t="shared" si="31"/>
        <v>pretty-ms</v>
      </c>
      <c r="E697" s="3" t="str">
        <f t="shared" si="32"/>
        <v>v6.1.1</v>
      </c>
      <c r="F697" t="str">
        <f>IF(COUNTIFS('[1]25 November'!$E:$E,$D697)&gt;0, "NEW FINDING", IF(COUNTIFS('[1]20 September New Socket'!E:E,$D697)&gt;0,"PREVOUS REPORT","N/A"))</f>
        <v>NEW FINDING</v>
      </c>
    </row>
    <row r="698" spans="1:6" x14ac:dyDescent="0.2">
      <c r="A698" s="1">
        <v>45986</v>
      </c>
      <c r="B698" s="4" t="s">
        <v>698</v>
      </c>
      <c r="C698" s="3" t="str">
        <f t="shared" si="30"/>
        <v>@postman</v>
      </c>
      <c r="D698" s="3" t="str">
        <f t="shared" si="31"/>
        <v>pretty-ms</v>
      </c>
      <c r="E698" s="3" t="str">
        <f t="shared" si="32"/>
        <v>v6.1.2</v>
      </c>
      <c r="F698" t="str">
        <f>IF(COUNTIFS('[1]25 November'!$E:$E,$D698)&gt;0, "NEW FINDING", IF(COUNTIFS('[1]20 September New Socket'!E:E,$D698)&gt;0,"PREVOUS REPORT","N/A"))</f>
        <v>NEW FINDING</v>
      </c>
    </row>
    <row r="699" spans="1:6" x14ac:dyDescent="0.2">
      <c r="A699" s="1">
        <v>45986</v>
      </c>
      <c r="B699" s="4" t="s">
        <v>699</v>
      </c>
      <c r="C699" s="3" t="str">
        <f t="shared" si="30"/>
        <v>@postman</v>
      </c>
      <c r="D699" s="3" t="str">
        <f t="shared" si="31"/>
        <v>pretty-ms</v>
      </c>
      <c r="E699" s="3" t="str">
        <f t="shared" si="32"/>
        <v>v6.1.3</v>
      </c>
      <c r="F699" t="str">
        <f>IF(COUNTIFS('[1]25 November'!$E:$E,$D699)&gt;0, "NEW FINDING", IF(COUNTIFS('[1]20 September New Socket'!E:E,$D699)&gt;0,"PREVOUS REPORT","N/A"))</f>
        <v>NEW FINDING</v>
      </c>
    </row>
    <row r="700" spans="1:6" x14ac:dyDescent="0.2">
      <c r="A700" s="1">
        <v>45986</v>
      </c>
      <c r="B700" s="4" t="s">
        <v>700</v>
      </c>
      <c r="C700" s="3" t="str">
        <f t="shared" si="30"/>
        <v>@postman</v>
      </c>
      <c r="D700" s="3" t="str">
        <f t="shared" si="31"/>
        <v>secret-scanner-wasm</v>
      </c>
      <c r="E700" s="3" t="str">
        <f t="shared" si="32"/>
        <v>v2.1.2</v>
      </c>
      <c r="F700" t="str">
        <f>IF(COUNTIFS('[1]25 November'!$E:$E,$D700)&gt;0, "NEW FINDING", IF(COUNTIFS('[1]20 September New Socket'!E:E,$D700)&gt;0,"PREVOUS REPORT","N/A"))</f>
        <v>NEW FINDING</v>
      </c>
    </row>
    <row r="701" spans="1:6" x14ac:dyDescent="0.2">
      <c r="A701" s="1">
        <v>45986</v>
      </c>
      <c r="B701" s="4" t="s">
        <v>701</v>
      </c>
      <c r="C701" s="3" t="str">
        <f t="shared" si="30"/>
        <v>@postman</v>
      </c>
      <c r="D701" s="3" t="str">
        <f t="shared" si="31"/>
        <v>secret-scanner-wasm</v>
      </c>
      <c r="E701" s="3" t="str">
        <f t="shared" si="32"/>
        <v>v2.1.3</v>
      </c>
      <c r="F701" t="str">
        <f>IF(COUNTIFS('[1]25 November'!$E:$E,$D701)&gt;0, "NEW FINDING", IF(COUNTIFS('[1]20 September New Socket'!E:E,$D701)&gt;0,"PREVOUS REPORT","N/A"))</f>
        <v>NEW FINDING</v>
      </c>
    </row>
    <row r="702" spans="1:6" x14ac:dyDescent="0.2">
      <c r="A702" s="1">
        <v>45986</v>
      </c>
      <c r="B702" s="4" t="s">
        <v>702</v>
      </c>
      <c r="C702" s="3" t="str">
        <f t="shared" si="30"/>
        <v>@postman</v>
      </c>
      <c r="D702" s="3" t="str">
        <f t="shared" si="31"/>
        <v>secret-scanner-wasm</v>
      </c>
      <c r="E702" s="3" t="str">
        <f t="shared" si="32"/>
        <v>v2.1.4</v>
      </c>
      <c r="F702" t="str">
        <f>IF(COUNTIFS('[1]25 November'!$E:$E,$D702)&gt;0, "NEW FINDING", IF(COUNTIFS('[1]20 September New Socket'!E:E,$D702)&gt;0,"PREVOUS REPORT","N/A"))</f>
        <v>NEW FINDING</v>
      </c>
    </row>
    <row r="703" spans="1:6" x14ac:dyDescent="0.2">
      <c r="A703" s="1">
        <v>45986</v>
      </c>
      <c r="B703" s="4" t="s">
        <v>703</v>
      </c>
      <c r="C703" s="3" t="str">
        <f t="shared" si="30"/>
        <v>@postman</v>
      </c>
      <c r="D703" s="3" t="str">
        <f t="shared" si="31"/>
        <v>tunnel-agent</v>
      </c>
      <c r="E703" s="3" t="str">
        <f t="shared" si="32"/>
        <v>v0.6.5</v>
      </c>
      <c r="F703" t="str">
        <f>IF(COUNTIFS('[1]25 November'!$E:$E,$D703)&gt;0, "NEW FINDING", IF(COUNTIFS('[1]20 September New Socket'!E:E,$D703)&gt;0,"PREVOUS REPORT","N/A"))</f>
        <v>NEW FINDING</v>
      </c>
    </row>
    <row r="704" spans="1:6" x14ac:dyDescent="0.2">
      <c r="A704" s="1">
        <v>45986</v>
      </c>
      <c r="B704" s="4" t="s">
        <v>704</v>
      </c>
      <c r="C704" s="3" t="str">
        <f t="shared" si="30"/>
        <v>@postman</v>
      </c>
      <c r="D704" s="3" t="str">
        <f t="shared" si="31"/>
        <v>tunnel-agent</v>
      </c>
      <c r="E704" s="3" t="str">
        <f t="shared" si="32"/>
        <v>v0.6.6</v>
      </c>
      <c r="F704" t="str">
        <f>IF(COUNTIFS('[1]25 November'!$E:$E,$D704)&gt;0, "NEW FINDING", IF(COUNTIFS('[1]20 September New Socket'!E:E,$D704)&gt;0,"PREVOUS REPORT","N/A"))</f>
        <v>NEW FINDING</v>
      </c>
    </row>
    <row r="705" spans="1:6" x14ac:dyDescent="0.2">
      <c r="A705" s="1">
        <v>45986</v>
      </c>
      <c r="B705" s="4" t="s">
        <v>705</v>
      </c>
      <c r="C705" s="3" t="str">
        <f t="shared" ref="C705:C768" si="33">IF(LEFT(B705,1)="@",LEFT(B705,FIND("/",B705)-1),"")</f>
        <v>@postman</v>
      </c>
      <c r="D705" s="3" t="str">
        <f t="shared" ref="D705:D768" si="34">IF(LEFT(B705,1)="@",
    MID(
        B705,
        FIND("/",B705)+1,
        IFERROR(
            FIND("@",B705,FIND("/",B705)+1) - FIND("/",B705) - 1,
            LEN(B705) - FIND("/",B705)
        )
    ),
    IFERROR(LEFT(B705,FIND("@",B705)-1), B705)
)</f>
        <v>tunnel-agent</v>
      </c>
      <c r="E705" s="3" t="str">
        <f t="shared" ref="E705:E768" si="35">RIGHT(B705,LEN(B705)-FIND("@",B705,LEN(B705)-LEN(SUBSTITUTE(B705,"@",""))+1))</f>
        <v>v0.6.7</v>
      </c>
      <c r="F705" t="str">
        <f>IF(COUNTIFS('[1]25 November'!$E:$E,$D705)&gt;0, "NEW FINDING", IF(COUNTIFS('[1]20 September New Socket'!E:E,$D705)&gt;0,"PREVOUS REPORT","N/A"))</f>
        <v>NEW FINDING</v>
      </c>
    </row>
    <row r="706" spans="1:6" x14ac:dyDescent="0.2">
      <c r="A706" s="1">
        <v>45986</v>
      </c>
      <c r="B706" s="4" t="s">
        <v>706</v>
      </c>
      <c r="C706" s="3" t="str">
        <f t="shared" si="33"/>
        <v>@postman</v>
      </c>
      <c r="D706" s="3" t="str">
        <f t="shared" si="34"/>
        <v>wdio-allure-reporter</v>
      </c>
      <c r="E706" s="3" t="str">
        <f t="shared" si="35"/>
        <v>v0.0.7</v>
      </c>
      <c r="F706" t="str">
        <f>IF(COUNTIFS('[1]25 November'!$E:$E,$D706)&gt;0, "NEW FINDING", IF(COUNTIFS('[1]20 September New Socket'!E:E,$D706)&gt;0,"PREVOUS REPORT","N/A"))</f>
        <v>NEW FINDING</v>
      </c>
    </row>
    <row r="707" spans="1:6" x14ac:dyDescent="0.2">
      <c r="A707" s="1">
        <v>45986</v>
      </c>
      <c r="B707" s="4" t="s">
        <v>707</v>
      </c>
      <c r="C707" s="3" t="str">
        <f t="shared" si="33"/>
        <v>@postman</v>
      </c>
      <c r="D707" s="3" t="str">
        <f t="shared" si="34"/>
        <v>wdio-allure-reporter</v>
      </c>
      <c r="E707" s="3" t="str">
        <f t="shared" si="35"/>
        <v>v0.0.8</v>
      </c>
      <c r="F707" t="str">
        <f>IF(COUNTIFS('[1]25 November'!$E:$E,$D707)&gt;0, "NEW FINDING", IF(COUNTIFS('[1]20 September New Socket'!E:E,$D707)&gt;0,"PREVOUS REPORT","N/A"))</f>
        <v>NEW FINDING</v>
      </c>
    </row>
    <row r="708" spans="1:6" x14ac:dyDescent="0.2">
      <c r="A708" s="1">
        <v>45986</v>
      </c>
      <c r="B708" s="4" t="s">
        <v>708</v>
      </c>
      <c r="C708" s="3" t="str">
        <f t="shared" si="33"/>
        <v>@postman</v>
      </c>
      <c r="D708" s="3" t="str">
        <f t="shared" si="34"/>
        <v>wdio-allure-reporter</v>
      </c>
      <c r="E708" s="3" t="str">
        <f t="shared" si="35"/>
        <v>v0.0.9</v>
      </c>
      <c r="F708" t="str">
        <f>IF(COUNTIFS('[1]25 November'!$E:$E,$D708)&gt;0, "NEW FINDING", IF(COUNTIFS('[1]20 September New Socket'!E:E,$D708)&gt;0,"PREVOUS REPORT","N/A"))</f>
        <v>NEW FINDING</v>
      </c>
    </row>
    <row r="709" spans="1:6" x14ac:dyDescent="0.2">
      <c r="A709" s="1">
        <v>45986</v>
      </c>
      <c r="B709" s="4" t="s">
        <v>709</v>
      </c>
      <c r="C709" s="3" t="str">
        <f t="shared" si="33"/>
        <v>@postman</v>
      </c>
      <c r="D709" s="3" t="str">
        <f t="shared" si="34"/>
        <v>wdio-junit-reporter</v>
      </c>
      <c r="E709" s="3" t="str">
        <f t="shared" si="35"/>
        <v>v0.0.4</v>
      </c>
      <c r="F709" t="str">
        <f>IF(COUNTIFS('[1]25 November'!$E:$E,$D709)&gt;0, "NEW FINDING", IF(COUNTIFS('[1]20 September New Socket'!E:E,$D709)&gt;0,"PREVOUS REPORT","N/A"))</f>
        <v>NEW FINDING</v>
      </c>
    </row>
    <row r="710" spans="1:6" x14ac:dyDescent="0.2">
      <c r="A710" s="1">
        <v>45986</v>
      </c>
      <c r="B710" s="4" t="s">
        <v>710</v>
      </c>
      <c r="C710" s="3" t="str">
        <f t="shared" si="33"/>
        <v>@postman</v>
      </c>
      <c r="D710" s="3" t="str">
        <f t="shared" si="34"/>
        <v>wdio-junit-reporter</v>
      </c>
      <c r="E710" s="3" t="str">
        <f t="shared" si="35"/>
        <v>v0.0.5</v>
      </c>
      <c r="F710" t="str">
        <f>IF(COUNTIFS('[1]25 November'!$E:$E,$D710)&gt;0, "NEW FINDING", IF(COUNTIFS('[1]20 September New Socket'!E:E,$D710)&gt;0,"PREVOUS REPORT","N/A"))</f>
        <v>NEW FINDING</v>
      </c>
    </row>
    <row r="711" spans="1:6" x14ac:dyDescent="0.2">
      <c r="A711" s="1">
        <v>45986</v>
      </c>
      <c r="B711" s="4" t="s">
        <v>711</v>
      </c>
      <c r="C711" s="3" t="str">
        <f t="shared" si="33"/>
        <v>@postman</v>
      </c>
      <c r="D711" s="3" t="str">
        <f t="shared" si="34"/>
        <v>wdio-junit-reporter</v>
      </c>
      <c r="E711" s="3" t="str">
        <f t="shared" si="35"/>
        <v>v0.0.6</v>
      </c>
      <c r="F711" t="str">
        <f>IF(COUNTIFS('[1]25 November'!$E:$E,$D711)&gt;0, "NEW FINDING", IF(COUNTIFS('[1]20 September New Socket'!E:E,$D711)&gt;0,"PREVOUS REPORT","N/A"))</f>
        <v>NEW FINDING</v>
      </c>
    </row>
    <row r="712" spans="1:6" x14ac:dyDescent="0.2">
      <c r="B712" s="4" t="s">
        <v>712</v>
      </c>
      <c r="C712" s="3" t="str">
        <f t="shared" si="33"/>
        <v>@sameepsi</v>
      </c>
      <c r="D712" s="3" t="str">
        <f t="shared" si="34"/>
        <v>sor</v>
      </c>
      <c r="E712" s="3" t="str">
        <f t="shared" si="35"/>
        <v>v1.0.3</v>
      </c>
      <c r="F712" t="str">
        <f>IF(COUNTIFS('[1]25 November'!$E:$E,$D712)&gt;0, "NEW FINDING", IF(COUNTIFS('[1]20 September New Socket'!E:E,$D712)&gt;0,"PREVOUS REPORT","N/A"))</f>
        <v>N/A</v>
      </c>
    </row>
    <row r="713" spans="1:6" x14ac:dyDescent="0.2">
      <c r="B713" s="4" t="s">
        <v>713</v>
      </c>
      <c r="C713" s="3" t="str">
        <f t="shared" si="33"/>
        <v>@sameepsi</v>
      </c>
      <c r="D713" s="3" t="str">
        <f t="shared" si="34"/>
        <v>sor</v>
      </c>
      <c r="E713" s="3" t="str">
        <f t="shared" si="35"/>
        <v>v2.0.2</v>
      </c>
      <c r="F713" t="str">
        <f>IF(COUNTIFS('[1]25 November'!$E:$E,$D713)&gt;0, "NEW FINDING", IF(COUNTIFS('[1]20 September New Socket'!E:E,$D713)&gt;0,"PREVOUS REPORT","N/A"))</f>
        <v>N/A</v>
      </c>
    </row>
    <row r="714" spans="1:6" x14ac:dyDescent="0.2">
      <c r="A714" s="1">
        <v>45986</v>
      </c>
      <c r="B714" s="4" t="s">
        <v>714</v>
      </c>
      <c r="C714" s="3" t="str">
        <f t="shared" si="33"/>
        <v>@tiaanduplessis</v>
      </c>
      <c r="D714" s="3" t="str">
        <f t="shared" si="34"/>
        <v>json</v>
      </c>
      <c r="E714" s="3" t="str">
        <f t="shared" si="35"/>
        <v>v2.0.2</v>
      </c>
      <c r="F714" t="str">
        <f>IF(COUNTIFS('[1]25 November'!$E:$E,$D714)&gt;0, "NEW FINDING", IF(COUNTIFS('[1]20 September New Socket'!E:E,$D714)&gt;0,"PREVOUS REPORT","N/A"))</f>
        <v>NEW FINDING</v>
      </c>
    </row>
    <row r="715" spans="1:6" x14ac:dyDescent="0.2">
      <c r="A715" s="1">
        <v>45986</v>
      </c>
      <c r="B715" s="4" t="s">
        <v>715</v>
      </c>
      <c r="C715" s="3" t="str">
        <f t="shared" si="33"/>
        <v>@tiaanduplessis</v>
      </c>
      <c r="D715" s="3" t="str">
        <f t="shared" si="34"/>
        <v>json</v>
      </c>
      <c r="E715" s="3" t="str">
        <f t="shared" si="35"/>
        <v>v2.0.3</v>
      </c>
      <c r="F715" t="str">
        <f>IF(COUNTIFS('[1]25 November'!$E:$E,$D715)&gt;0, "NEW FINDING", IF(COUNTIFS('[1]20 September New Socket'!E:E,$D715)&gt;0,"PREVOUS REPORT","N/A"))</f>
        <v>NEW FINDING</v>
      </c>
    </row>
    <row r="716" spans="1:6" x14ac:dyDescent="0.2">
      <c r="A716" s="1">
        <v>45986</v>
      </c>
      <c r="B716" s="4" t="s">
        <v>716</v>
      </c>
      <c r="C716" s="3" t="str">
        <f t="shared" si="33"/>
        <v>@tiaanduplessis</v>
      </c>
      <c r="D716" s="3" t="str">
        <f t="shared" si="34"/>
        <v>react-progressbar</v>
      </c>
      <c r="E716" s="3" t="str">
        <f t="shared" si="35"/>
        <v>v1.0.1</v>
      </c>
      <c r="F716" t="str">
        <f>IF(COUNTIFS('[1]25 November'!$E:$E,$D716)&gt;0, "NEW FINDING", IF(COUNTIFS('[1]20 September New Socket'!E:E,$D716)&gt;0,"PREVOUS REPORT","N/A"))</f>
        <v>NEW FINDING</v>
      </c>
    </row>
    <row r="717" spans="1:6" x14ac:dyDescent="0.2">
      <c r="A717" s="1">
        <v>45986</v>
      </c>
      <c r="B717" s="4" t="s">
        <v>717</v>
      </c>
      <c r="C717" s="3" t="str">
        <f t="shared" si="33"/>
        <v>@tiaanduplessis</v>
      </c>
      <c r="D717" s="3" t="str">
        <f t="shared" si="34"/>
        <v>react-progressbar</v>
      </c>
      <c r="E717" s="3" t="str">
        <f t="shared" si="35"/>
        <v>v1.0.2</v>
      </c>
      <c r="F717" t="str">
        <f>IF(COUNTIFS('[1]25 November'!$E:$E,$D717)&gt;0, "NEW FINDING", IF(COUNTIFS('[1]20 September New Socket'!E:E,$D717)&gt;0,"PREVOUS REPORT","N/A"))</f>
        <v>NEW FINDING</v>
      </c>
    </row>
    <row r="718" spans="1:6" x14ac:dyDescent="0.2">
      <c r="A718" s="1">
        <v>45986</v>
      </c>
      <c r="B718" s="4" t="s">
        <v>718</v>
      </c>
      <c r="C718" s="3" t="str">
        <f t="shared" si="33"/>
        <v>@varsityvibe</v>
      </c>
      <c r="D718" s="3" t="str">
        <f t="shared" si="34"/>
        <v>validation-schemas</v>
      </c>
      <c r="E718" s="3" t="str">
        <f t="shared" si="35"/>
        <v>v0.6.7</v>
      </c>
      <c r="F718" t="str">
        <f>IF(COUNTIFS('[1]25 November'!$E:$E,$D718)&gt;0, "NEW FINDING", IF(COUNTIFS('[1]20 September New Socket'!E:E,$D718)&gt;0,"PREVOUS REPORT","N/A"))</f>
        <v>NEW FINDING</v>
      </c>
    </row>
    <row r="719" spans="1:6" x14ac:dyDescent="0.2">
      <c r="A719" s="1">
        <v>45986</v>
      </c>
      <c r="B719" s="4" t="s">
        <v>719</v>
      </c>
      <c r="C719" s="3" t="str">
        <f t="shared" si="33"/>
        <v>@varsityvibe</v>
      </c>
      <c r="D719" s="3" t="str">
        <f t="shared" si="34"/>
        <v>validation-schemas</v>
      </c>
      <c r="E719" s="3" t="str">
        <f t="shared" si="35"/>
        <v>v0.6.8</v>
      </c>
      <c r="F719" t="str">
        <f>IF(COUNTIFS('[1]25 November'!$E:$E,$D719)&gt;0, "NEW FINDING", IF(COUNTIFS('[1]20 September New Socket'!E:E,$D719)&gt;0,"PREVOUS REPORT","N/A"))</f>
        <v>NEW FINDING</v>
      </c>
    </row>
    <row r="720" spans="1:6" x14ac:dyDescent="0.2">
      <c r="A720" s="1">
        <v>45986</v>
      </c>
      <c r="B720" s="4" t="s">
        <v>720</v>
      </c>
      <c r="C720" s="3" t="str">
        <f t="shared" si="33"/>
        <v>@voiceflow</v>
      </c>
      <c r="D720" s="3" t="str">
        <f t="shared" si="34"/>
        <v>alexa-types</v>
      </c>
      <c r="E720" s="3" t="str">
        <f t="shared" si="35"/>
        <v>v2.15.60</v>
      </c>
      <c r="F720" t="str">
        <f>IF(COUNTIFS('[1]25 November'!$E:$E,$D720)&gt;0, "NEW FINDING", IF(COUNTIFS('[1]20 September New Socket'!E:E,$D720)&gt;0,"PREVOUS REPORT","N/A"))</f>
        <v>NEW FINDING</v>
      </c>
    </row>
    <row r="721" spans="1:6" x14ac:dyDescent="0.2">
      <c r="A721" s="1">
        <v>45986</v>
      </c>
      <c r="B721" s="4" t="s">
        <v>721</v>
      </c>
      <c r="C721" s="3" t="str">
        <f t="shared" si="33"/>
        <v>@voiceflow</v>
      </c>
      <c r="D721" s="3" t="str">
        <f t="shared" si="34"/>
        <v>alexa-types</v>
      </c>
      <c r="E721" s="3" t="str">
        <f t="shared" si="35"/>
        <v>v2.15.61</v>
      </c>
      <c r="F721" t="str">
        <f>IF(COUNTIFS('[1]25 November'!$E:$E,$D721)&gt;0, "NEW FINDING", IF(COUNTIFS('[1]20 September New Socket'!E:E,$D721)&gt;0,"PREVOUS REPORT","N/A"))</f>
        <v>NEW FINDING</v>
      </c>
    </row>
    <row r="722" spans="1:6" x14ac:dyDescent="0.2">
      <c r="A722" s="1">
        <v>45986</v>
      </c>
      <c r="B722" s="4" t="s">
        <v>722</v>
      </c>
      <c r="C722" s="3" t="str">
        <f t="shared" si="33"/>
        <v>@voiceflow</v>
      </c>
      <c r="D722" s="3" t="str">
        <f t="shared" si="34"/>
        <v>anthropic</v>
      </c>
      <c r="E722" s="3" t="str">
        <f t="shared" si="35"/>
        <v>v0.4.4</v>
      </c>
      <c r="F722" t="str">
        <f>IF(COUNTIFS('[1]25 November'!$E:$E,$D722)&gt;0, "NEW FINDING", IF(COUNTIFS('[1]20 September New Socket'!E:E,$D722)&gt;0,"PREVOUS REPORT","N/A"))</f>
        <v>NEW FINDING</v>
      </c>
    </row>
    <row r="723" spans="1:6" x14ac:dyDescent="0.2">
      <c r="A723" s="1">
        <v>45986</v>
      </c>
      <c r="B723" s="4" t="s">
        <v>723</v>
      </c>
      <c r="C723" s="3" t="str">
        <f t="shared" si="33"/>
        <v>@voiceflow</v>
      </c>
      <c r="D723" s="3" t="str">
        <f t="shared" si="34"/>
        <v>anthropic</v>
      </c>
      <c r="E723" s="3" t="str">
        <f t="shared" si="35"/>
        <v>v0.4.5</v>
      </c>
      <c r="F723" t="str">
        <f>IF(COUNTIFS('[1]25 November'!$E:$E,$D723)&gt;0, "NEW FINDING", IF(COUNTIFS('[1]20 September New Socket'!E:E,$D723)&gt;0,"PREVOUS REPORT","N/A"))</f>
        <v>NEW FINDING</v>
      </c>
    </row>
    <row r="724" spans="1:6" x14ac:dyDescent="0.2">
      <c r="A724" s="1">
        <v>45986</v>
      </c>
      <c r="B724" s="4" t="s">
        <v>724</v>
      </c>
      <c r="C724" s="3" t="str">
        <f t="shared" si="33"/>
        <v>@voiceflow</v>
      </c>
      <c r="D724" s="3" t="str">
        <f t="shared" si="34"/>
        <v>api-sdk</v>
      </c>
      <c r="E724" s="3" t="str">
        <f t="shared" si="35"/>
        <v>v3.28.58</v>
      </c>
      <c r="F724" t="str">
        <f>IF(COUNTIFS('[1]25 November'!$E:$E,$D724)&gt;0, "NEW FINDING", IF(COUNTIFS('[1]20 September New Socket'!E:E,$D724)&gt;0,"PREVOUS REPORT","N/A"))</f>
        <v>NEW FINDING</v>
      </c>
    </row>
    <row r="725" spans="1:6" x14ac:dyDescent="0.2">
      <c r="A725" s="1">
        <v>45986</v>
      </c>
      <c r="B725" s="4" t="s">
        <v>725</v>
      </c>
      <c r="C725" s="3" t="str">
        <f t="shared" si="33"/>
        <v>@voiceflow</v>
      </c>
      <c r="D725" s="3" t="str">
        <f t="shared" si="34"/>
        <v>api-sdk</v>
      </c>
      <c r="E725" s="3" t="str">
        <f t="shared" si="35"/>
        <v>v3.28.59</v>
      </c>
      <c r="F725" t="str">
        <f>IF(COUNTIFS('[1]25 November'!$E:$E,$D725)&gt;0, "NEW FINDING", IF(COUNTIFS('[1]20 September New Socket'!E:E,$D725)&gt;0,"PREVOUS REPORT","N/A"))</f>
        <v>NEW FINDING</v>
      </c>
    </row>
    <row r="726" spans="1:6" x14ac:dyDescent="0.2">
      <c r="A726" s="1">
        <v>45986</v>
      </c>
      <c r="B726" s="4" t="s">
        <v>726</v>
      </c>
      <c r="C726" s="3" t="str">
        <f t="shared" si="33"/>
        <v>@voiceflow</v>
      </c>
      <c r="D726" s="3" t="str">
        <f t="shared" si="34"/>
        <v>backend-utils</v>
      </c>
      <c r="E726" s="3" t="str">
        <f t="shared" si="35"/>
        <v>v5.0.1</v>
      </c>
      <c r="F726" t="str">
        <f>IF(COUNTIFS('[1]25 November'!$E:$E,$D726)&gt;0, "NEW FINDING", IF(COUNTIFS('[1]20 September New Socket'!E:E,$D726)&gt;0,"PREVOUS REPORT","N/A"))</f>
        <v>NEW FINDING</v>
      </c>
    </row>
    <row r="727" spans="1:6" x14ac:dyDescent="0.2">
      <c r="A727" s="1">
        <v>45986</v>
      </c>
      <c r="B727" s="4" t="s">
        <v>727</v>
      </c>
      <c r="C727" s="3" t="str">
        <f t="shared" si="33"/>
        <v>@voiceflow</v>
      </c>
      <c r="D727" s="3" t="str">
        <f t="shared" si="34"/>
        <v>backend-utils</v>
      </c>
      <c r="E727" s="3" t="str">
        <f t="shared" si="35"/>
        <v>v5.0.2</v>
      </c>
      <c r="F727" t="str">
        <f>IF(COUNTIFS('[1]25 November'!$E:$E,$D727)&gt;0, "NEW FINDING", IF(COUNTIFS('[1]20 September New Socket'!E:E,$D727)&gt;0,"PREVOUS REPORT","N/A"))</f>
        <v>NEW FINDING</v>
      </c>
    </row>
    <row r="728" spans="1:6" x14ac:dyDescent="0.2">
      <c r="A728" s="1">
        <v>45986</v>
      </c>
      <c r="B728" s="4" t="s">
        <v>728</v>
      </c>
      <c r="C728" s="3" t="str">
        <f t="shared" si="33"/>
        <v>@voiceflow</v>
      </c>
      <c r="D728" s="3" t="str">
        <f t="shared" si="34"/>
        <v>base-types</v>
      </c>
      <c r="E728" s="3" t="str">
        <f t="shared" si="35"/>
        <v>v2.136.2</v>
      </c>
      <c r="F728" t="str">
        <f>IF(COUNTIFS('[1]25 November'!$E:$E,$D728)&gt;0, "NEW FINDING", IF(COUNTIFS('[1]20 September New Socket'!E:E,$D728)&gt;0,"PREVOUS REPORT","N/A"))</f>
        <v>NEW FINDING</v>
      </c>
    </row>
    <row r="729" spans="1:6" x14ac:dyDescent="0.2">
      <c r="A729" s="1">
        <v>45986</v>
      </c>
      <c r="B729" s="4" t="s">
        <v>729</v>
      </c>
      <c r="C729" s="3" t="str">
        <f t="shared" si="33"/>
        <v>@voiceflow</v>
      </c>
      <c r="D729" s="3" t="str">
        <f t="shared" si="34"/>
        <v>base-types</v>
      </c>
      <c r="E729" s="3" t="str">
        <f t="shared" si="35"/>
        <v>v2.136.3</v>
      </c>
      <c r="F729" t="str">
        <f>IF(COUNTIFS('[1]25 November'!$E:$E,$D729)&gt;0, "NEW FINDING", IF(COUNTIFS('[1]20 September New Socket'!E:E,$D729)&gt;0,"PREVOUS REPORT","N/A"))</f>
        <v>NEW FINDING</v>
      </c>
    </row>
    <row r="730" spans="1:6" x14ac:dyDescent="0.2">
      <c r="A730" s="1">
        <v>45986</v>
      </c>
      <c r="B730" s="4" t="s">
        <v>730</v>
      </c>
      <c r="C730" s="3" t="str">
        <f t="shared" si="33"/>
        <v>@voiceflow</v>
      </c>
      <c r="D730" s="3" t="str">
        <f t="shared" si="34"/>
        <v>body-parser</v>
      </c>
      <c r="E730" s="3" t="str">
        <f t="shared" si="35"/>
        <v>v1.21.2</v>
      </c>
      <c r="F730" t="str">
        <f>IF(COUNTIFS('[1]25 November'!$E:$E,$D730)&gt;0, "NEW FINDING", IF(COUNTIFS('[1]20 September New Socket'!E:E,$D730)&gt;0,"PREVOUS REPORT","N/A"))</f>
        <v>NEW FINDING</v>
      </c>
    </row>
    <row r="731" spans="1:6" x14ac:dyDescent="0.2">
      <c r="A731" s="1">
        <v>45986</v>
      </c>
      <c r="B731" s="4" t="s">
        <v>731</v>
      </c>
      <c r="C731" s="3" t="str">
        <f t="shared" si="33"/>
        <v>@voiceflow</v>
      </c>
      <c r="D731" s="3" t="str">
        <f t="shared" si="34"/>
        <v>body-parser</v>
      </c>
      <c r="E731" s="3" t="str">
        <f t="shared" si="35"/>
        <v>v1.21.3</v>
      </c>
      <c r="F731" t="str">
        <f>IF(COUNTIFS('[1]25 November'!$E:$E,$D731)&gt;0, "NEW FINDING", IF(COUNTIFS('[1]20 September New Socket'!E:E,$D731)&gt;0,"PREVOUS REPORT","N/A"))</f>
        <v>NEW FINDING</v>
      </c>
    </row>
    <row r="732" spans="1:6" x14ac:dyDescent="0.2">
      <c r="B732" s="4" t="s">
        <v>732</v>
      </c>
      <c r="C732" s="3" t="str">
        <f t="shared" si="33"/>
        <v>@voiceflow</v>
      </c>
      <c r="D732" s="3" t="str">
        <f t="shared" si="34"/>
        <v>chat-types</v>
      </c>
      <c r="E732" s="3" t="str">
        <f t="shared" si="35"/>
        <v>v2.14.58</v>
      </c>
      <c r="F732" t="str">
        <f>IF(COUNTIFS('[1]25 November'!$E:$E,$D732)&gt;0, "NEW FINDING", IF(COUNTIFS('[1]20 September New Socket'!E:E,$D732)&gt;0,"PREVOUS REPORT","N/A"))</f>
        <v>N/A</v>
      </c>
    </row>
    <row r="733" spans="1:6" x14ac:dyDescent="0.2">
      <c r="B733" s="4" t="s">
        <v>733</v>
      </c>
      <c r="C733" s="3" t="str">
        <f t="shared" si="33"/>
        <v>@voiceflow</v>
      </c>
      <c r="D733" s="3" t="str">
        <f t="shared" si="34"/>
        <v>chat-types</v>
      </c>
      <c r="E733" s="3" t="str">
        <f t="shared" si="35"/>
        <v>v2.14.59</v>
      </c>
      <c r="F733" t="str">
        <f>IF(COUNTIFS('[1]25 November'!$E:$E,$D733)&gt;0, "NEW FINDING", IF(COUNTIFS('[1]20 September New Socket'!E:E,$D733)&gt;0,"PREVOUS REPORT","N/A"))</f>
        <v>N/A</v>
      </c>
    </row>
    <row r="734" spans="1:6" x14ac:dyDescent="0.2">
      <c r="A734" s="1">
        <v>45986</v>
      </c>
      <c r="B734" s="4" t="s">
        <v>734</v>
      </c>
      <c r="C734" s="3" t="str">
        <f t="shared" si="33"/>
        <v>@voiceflow</v>
      </c>
      <c r="D734" s="3" t="str">
        <f t="shared" si="34"/>
        <v>circleci-config-sdk-orb-import</v>
      </c>
      <c r="E734" s="3" t="str">
        <f t="shared" si="35"/>
        <v>v0.2.1</v>
      </c>
      <c r="F734" t="str">
        <f>IF(COUNTIFS('[1]25 November'!$E:$E,$D734)&gt;0, "NEW FINDING", IF(COUNTIFS('[1]20 September New Socket'!E:E,$D734)&gt;0,"PREVOUS REPORT","N/A"))</f>
        <v>NEW FINDING</v>
      </c>
    </row>
    <row r="735" spans="1:6" x14ac:dyDescent="0.2">
      <c r="A735" s="1">
        <v>45986</v>
      </c>
      <c r="B735" s="4" t="s">
        <v>735</v>
      </c>
      <c r="C735" s="3" t="str">
        <f t="shared" si="33"/>
        <v>@voiceflow</v>
      </c>
      <c r="D735" s="3" t="str">
        <f t="shared" si="34"/>
        <v>circleci-config-sdk-orb-import</v>
      </c>
      <c r="E735" s="3" t="str">
        <f t="shared" si="35"/>
        <v>v0.2.2</v>
      </c>
      <c r="F735" t="str">
        <f>IF(COUNTIFS('[1]25 November'!$E:$E,$D735)&gt;0, "NEW FINDING", IF(COUNTIFS('[1]20 September New Socket'!E:E,$D735)&gt;0,"PREVOUS REPORT","N/A"))</f>
        <v>NEW FINDING</v>
      </c>
    </row>
    <row r="736" spans="1:6" x14ac:dyDescent="0.2">
      <c r="A736" s="1">
        <v>45986</v>
      </c>
      <c r="B736" s="4" t="s">
        <v>736</v>
      </c>
      <c r="C736" s="3" t="str">
        <f t="shared" si="33"/>
        <v>@voiceflow</v>
      </c>
      <c r="D736" s="3" t="str">
        <f t="shared" si="34"/>
        <v>commitlint-config</v>
      </c>
      <c r="E736" s="3" t="str">
        <f t="shared" si="35"/>
        <v>v2.6.1</v>
      </c>
      <c r="F736" t="str">
        <f>IF(COUNTIFS('[1]25 November'!$E:$E,$D736)&gt;0, "NEW FINDING", IF(COUNTIFS('[1]20 September New Socket'!E:E,$D736)&gt;0,"PREVOUS REPORT","N/A"))</f>
        <v>NEW FINDING</v>
      </c>
    </row>
    <row r="737" spans="1:6" x14ac:dyDescent="0.2">
      <c r="A737" s="1">
        <v>45986</v>
      </c>
      <c r="B737" s="4" t="s">
        <v>737</v>
      </c>
      <c r="C737" s="3" t="str">
        <f t="shared" si="33"/>
        <v>@voiceflow</v>
      </c>
      <c r="D737" s="3" t="str">
        <f t="shared" si="34"/>
        <v>commitlint-config</v>
      </c>
      <c r="E737" s="3" t="str">
        <f t="shared" si="35"/>
        <v>v2.6.2</v>
      </c>
      <c r="F737" t="str">
        <f>IF(COUNTIFS('[1]25 November'!$E:$E,$D737)&gt;0, "NEW FINDING", IF(COUNTIFS('[1]20 September New Socket'!E:E,$D737)&gt;0,"PREVOUS REPORT","N/A"))</f>
        <v>NEW FINDING</v>
      </c>
    </row>
    <row r="738" spans="1:6" x14ac:dyDescent="0.2">
      <c r="A738" s="1">
        <v>45986</v>
      </c>
      <c r="B738" s="4" t="s">
        <v>738</v>
      </c>
      <c r="C738" s="3" t="str">
        <f t="shared" si="33"/>
        <v>@voiceflow</v>
      </c>
      <c r="D738" s="3" t="str">
        <f t="shared" si="34"/>
        <v>common</v>
      </c>
      <c r="E738" s="3" t="str">
        <f t="shared" si="35"/>
        <v>v8.9.1</v>
      </c>
      <c r="F738" t="str">
        <f>IF(COUNTIFS('[1]25 November'!$E:$E,$D738)&gt;0, "NEW FINDING", IF(COUNTIFS('[1]20 September New Socket'!E:E,$D738)&gt;0,"PREVOUS REPORT","N/A"))</f>
        <v>NEW FINDING</v>
      </c>
    </row>
    <row r="739" spans="1:6" x14ac:dyDescent="0.2">
      <c r="A739" s="1">
        <v>45986</v>
      </c>
      <c r="B739" s="4" t="s">
        <v>739</v>
      </c>
      <c r="C739" s="3" t="str">
        <f t="shared" si="33"/>
        <v>@voiceflow</v>
      </c>
      <c r="D739" s="3" t="str">
        <f t="shared" si="34"/>
        <v>common</v>
      </c>
      <c r="E739" s="3" t="str">
        <f t="shared" si="35"/>
        <v>v8.9.2</v>
      </c>
      <c r="F739" t="str">
        <f>IF(COUNTIFS('[1]25 November'!$E:$E,$D739)&gt;0, "NEW FINDING", IF(COUNTIFS('[1]20 September New Socket'!E:E,$D739)&gt;0,"PREVOUS REPORT","N/A"))</f>
        <v>NEW FINDING</v>
      </c>
    </row>
    <row r="740" spans="1:6" x14ac:dyDescent="0.2">
      <c r="A740" s="1">
        <v>45986</v>
      </c>
      <c r="B740" s="4" t="s">
        <v>740</v>
      </c>
      <c r="C740" s="3" t="str">
        <f t="shared" si="33"/>
        <v>@voiceflow</v>
      </c>
      <c r="D740" s="3" t="str">
        <f t="shared" si="34"/>
        <v>default-prompt-wrappers</v>
      </c>
      <c r="E740" s="3" t="str">
        <f t="shared" si="35"/>
        <v>v1.7.3</v>
      </c>
      <c r="F740" t="str">
        <f>IF(COUNTIFS('[1]25 November'!$E:$E,$D740)&gt;0, "NEW FINDING", IF(COUNTIFS('[1]20 September New Socket'!E:E,$D740)&gt;0,"PREVOUS REPORT","N/A"))</f>
        <v>NEW FINDING</v>
      </c>
    </row>
    <row r="741" spans="1:6" x14ac:dyDescent="0.2">
      <c r="A741" s="1">
        <v>45986</v>
      </c>
      <c r="B741" s="4" t="s">
        <v>741</v>
      </c>
      <c r="C741" s="3" t="str">
        <f t="shared" si="33"/>
        <v>@voiceflow</v>
      </c>
      <c r="D741" s="3" t="str">
        <f t="shared" si="34"/>
        <v>default-prompt-wrappers</v>
      </c>
      <c r="E741" s="3" t="str">
        <f t="shared" si="35"/>
        <v>v1.7.4</v>
      </c>
      <c r="F741" t="str">
        <f>IF(COUNTIFS('[1]25 November'!$E:$E,$D741)&gt;0, "NEW FINDING", IF(COUNTIFS('[1]20 September New Socket'!E:E,$D741)&gt;0,"PREVOUS REPORT","N/A"))</f>
        <v>NEW FINDING</v>
      </c>
    </row>
    <row r="742" spans="1:6" x14ac:dyDescent="0.2">
      <c r="B742" s="4" t="s">
        <v>742</v>
      </c>
      <c r="C742" s="3" t="str">
        <f t="shared" si="33"/>
        <v>@voiceflow</v>
      </c>
      <c r="D742" s="3" t="str">
        <f t="shared" si="34"/>
        <v>dependency-cruiser-config</v>
      </c>
      <c r="E742" s="3" t="str">
        <f t="shared" si="35"/>
        <v>v1.8.11</v>
      </c>
      <c r="F742" t="str">
        <f>IF(COUNTIFS('[1]25 November'!$E:$E,$D742)&gt;0, "NEW FINDING", IF(COUNTIFS('[1]20 September New Socket'!E:E,$D742)&gt;0,"PREVOUS REPORT","N/A"))</f>
        <v>N/A</v>
      </c>
    </row>
    <row r="743" spans="1:6" x14ac:dyDescent="0.2">
      <c r="B743" s="4" t="s">
        <v>743</v>
      </c>
      <c r="C743" s="3" t="str">
        <f t="shared" si="33"/>
        <v>@voiceflow</v>
      </c>
      <c r="D743" s="3" t="str">
        <f t="shared" si="34"/>
        <v>dependency-cruiser-config</v>
      </c>
      <c r="E743" s="3" t="str">
        <f t="shared" si="35"/>
        <v>v1.8.12</v>
      </c>
      <c r="F743" t="str">
        <f>IF(COUNTIFS('[1]25 November'!$E:$E,$D743)&gt;0, "NEW FINDING", IF(COUNTIFS('[1]20 September New Socket'!E:E,$D743)&gt;0,"PREVOUS REPORT","N/A"))</f>
        <v>N/A</v>
      </c>
    </row>
    <row r="744" spans="1:6" x14ac:dyDescent="0.2">
      <c r="A744" s="1">
        <v>45986</v>
      </c>
      <c r="B744" s="4" t="s">
        <v>744</v>
      </c>
      <c r="C744" s="3" t="str">
        <f t="shared" si="33"/>
        <v>@voiceflow</v>
      </c>
      <c r="D744" s="3" t="str">
        <f t="shared" si="34"/>
        <v>dtos-interact</v>
      </c>
      <c r="E744" s="3" t="str">
        <f t="shared" si="35"/>
        <v>v1.40.1</v>
      </c>
      <c r="F744" t="str">
        <f>IF(COUNTIFS('[1]25 November'!$E:$E,$D744)&gt;0, "NEW FINDING", IF(COUNTIFS('[1]20 September New Socket'!E:E,$D744)&gt;0,"PREVOUS REPORT","N/A"))</f>
        <v>NEW FINDING</v>
      </c>
    </row>
    <row r="745" spans="1:6" x14ac:dyDescent="0.2">
      <c r="A745" s="1">
        <v>45986</v>
      </c>
      <c r="B745" s="4" t="s">
        <v>745</v>
      </c>
      <c r="C745" s="3" t="str">
        <f t="shared" si="33"/>
        <v>@voiceflow</v>
      </c>
      <c r="D745" s="3" t="str">
        <f t="shared" si="34"/>
        <v>dtos-interact</v>
      </c>
      <c r="E745" s="3" t="str">
        <f t="shared" si="35"/>
        <v>v1.40.2</v>
      </c>
      <c r="F745" t="str">
        <f>IF(COUNTIFS('[1]25 November'!$E:$E,$D745)&gt;0, "NEW FINDING", IF(COUNTIFS('[1]20 September New Socket'!E:E,$D745)&gt;0,"PREVOUS REPORT","N/A"))</f>
        <v>NEW FINDING</v>
      </c>
    </row>
    <row r="746" spans="1:6" x14ac:dyDescent="0.2">
      <c r="B746" s="4" t="s">
        <v>746</v>
      </c>
      <c r="C746" s="3" t="str">
        <f t="shared" si="33"/>
        <v>@voiceflow</v>
      </c>
      <c r="D746" s="3" t="str">
        <f t="shared" si="34"/>
        <v>encryption</v>
      </c>
      <c r="E746" s="3" t="str">
        <f t="shared" si="35"/>
        <v>v0.3.2</v>
      </c>
      <c r="F746" t="str">
        <f>IF(COUNTIFS('[1]25 November'!$E:$E,$D746)&gt;0, "NEW FINDING", IF(COUNTIFS('[1]20 September New Socket'!E:E,$D746)&gt;0,"PREVOUS REPORT","N/A"))</f>
        <v>N/A</v>
      </c>
    </row>
    <row r="747" spans="1:6" x14ac:dyDescent="0.2">
      <c r="B747" s="4" t="s">
        <v>747</v>
      </c>
      <c r="C747" s="3" t="str">
        <f t="shared" si="33"/>
        <v>@voiceflow</v>
      </c>
      <c r="D747" s="3" t="str">
        <f t="shared" si="34"/>
        <v>encryption</v>
      </c>
      <c r="E747" s="3" t="str">
        <f t="shared" si="35"/>
        <v>v0.3.3</v>
      </c>
      <c r="F747" t="str">
        <f>IF(COUNTIFS('[1]25 November'!$E:$E,$D747)&gt;0, "NEW FINDING", IF(COUNTIFS('[1]20 September New Socket'!E:E,$D747)&gt;0,"PREVOUS REPORT","N/A"))</f>
        <v>N/A</v>
      </c>
    </row>
    <row r="748" spans="1:6" x14ac:dyDescent="0.2">
      <c r="A748" s="1">
        <v>45986</v>
      </c>
      <c r="B748" s="4" t="s">
        <v>748</v>
      </c>
      <c r="C748" s="3" t="str">
        <f t="shared" si="33"/>
        <v>@voiceflow</v>
      </c>
      <c r="D748" s="3" t="str">
        <f t="shared" si="34"/>
        <v>eslint-config</v>
      </c>
      <c r="E748" s="3" t="str">
        <f t="shared" si="35"/>
        <v>v7.16.4</v>
      </c>
      <c r="F748" t="str">
        <f>IF(COUNTIFS('[1]25 November'!$E:$E,$D748)&gt;0, "NEW FINDING", IF(COUNTIFS('[1]20 September New Socket'!E:E,$D748)&gt;0,"PREVOUS REPORT","N/A"))</f>
        <v>NEW FINDING</v>
      </c>
    </row>
    <row r="749" spans="1:6" x14ac:dyDescent="0.2">
      <c r="A749" s="1">
        <v>45986</v>
      </c>
      <c r="B749" s="4" t="s">
        <v>749</v>
      </c>
      <c r="C749" s="3" t="str">
        <f t="shared" si="33"/>
        <v>@voiceflow</v>
      </c>
      <c r="D749" s="3" t="str">
        <f t="shared" si="34"/>
        <v>eslint-config</v>
      </c>
      <c r="E749" s="3" t="str">
        <f t="shared" si="35"/>
        <v>v7.16.5</v>
      </c>
      <c r="F749" t="str">
        <f>IF(COUNTIFS('[1]25 November'!$E:$E,$D749)&gt;0, "NEW FINDING", IF(COUNTIFS('[1]20 September New Socket'!E:E,$D749)&gt;0,"PREVOUS REPORT","N/A"))</f>
        <v>NEW FINDING</v>
      </c>
    </row>
    <row r="750" spans="1:6" x14ac:dyDescent="0.2">
      <c r="A750" s="1">
        <v>45986</v>
      </c>
      <c r="B750" s="4" t="s">
        <v>750</v>
      </c>
      <c r="C750" s="3" t="str">
        <f t="shared" si="33"/>
        <v>@voiceflow</v>
      </c>
      <c r="D750" s="3" t="str">
        <f t="shared" si="34"/>
        <v>eslint-plugin</v>
      </c>
      <c r="E750" s="3" t="str">
        <f t="shared" si="35"/>
        <v>v1.6.1</v>
      </c>
      <c r="F750" t="str">
        <f>IF(COUNTIFS('[1]25 November'!$E:$E,$D750)&gt;0, "NEW FINDING", IF(COUNTIFS('[1]20 September New Socket'!E:E,$D750)&gt;0,"PREVOUS REPORT","N/A"))</f>
        <v>NEW FINDING</v>
      </c>
    </row>
    <row r="751" spans="1:6" x14ac:dyDescent="0.2">
      <c r="A751" s="1">
        <v>45986</v>
      </c>
      <c r="B751" s="4" t="s">
        <v>751</v>
      </c>
      <c r="C751" s="3" t="str">
        <f t="shared" si="33"/>
        <v>@voiceflow</v>
      </c>
      <c r="D751" s="3" t="str">
        <f t="shared" si="34"/>
        <v>eslint-plugin</v>
      </c>
      <c r="E751" s="3" t="str">
        <f t="shared" si="35"/>
        <v>v1.6.2</v>
      </c>
      <c r="F751" t="str">
        <f>IF(COUNTIFS('[1]25 November'!$E:$E,$D751)&gt;0, "NEW FINDING", IF(COUNTIFS('[1]20 September New Socket'!E:E,$D751)&gt;0,"PREVOUS REPORT","N/A"))</f>
        <v>NEW FINDING</v>
      </c>
    </row>
    <row r="752" spans="1:6" x14ac:dyDescent="0.2">
      <c r="A752" s="1">
        <v>45986</v>
      </c>
      <c r="B752" s="4" t="s">
        <v>752</v>
      </c>
      <c r="C752" s="3" t="str">
        <f t="shared" si="33"/>
        <v>@voiceflow</v>
      </c>
      <c r="D752" s="3" t="str">
        <f t="shared" si="34"/>
        <v>exception</v>
      </c>
      <c r="E752" s="3" t="str">
        <f t="shared" si="35"/>
        <v>v1.10.1</v>
      </c>
      <c r="F752" t="str">
        <f>IF(COUNTIFS('[1]25 November'!$E:$E,$D752)&gt;0, "NEW FINDING", IF(COUNTIFS('[1]20 September New Socket'!E:E,$D752)&gt;0,"PREVOUS REPORT","N/A"))</f>
        <v>NEW FINDING</v>
      </c>
    </row>
    <row r="753" spans="1:6" x14ac:dyDescent="0.2">
      <c r="A753" s="1">
        <v>45986</v>
      </c>
      <c r="B753" s="4" t="s">
        <v>753</v>
      </c>
      <c r="C753" s="3" t="str">
        <f t="shared" si="33"/>
        <v>@voiceflow</v>
      </c>
      <c r="D753" s="3" t="str">
        <f t="shared" si="34"/>
        <v>exception</v>
      </c>
      <c r="E753" s="3" t="str">
        <f t="shared" si="35"/>
        <v>v1.10.2</v>
      </c>
      <c r="F753" t="str">
        <f>IF(COUNTIFS('[1]25 November'!$E:$E,$D753)&gt;0, "NEW FINDING", IF(COUNTIFS('[1]20 September New Socket'!E:E,$D753)&gt;0,"PREVOUS REPORT","N/A"))</f>
        <v>NEW FINDING</v>
      </c>
    </row>
    <row r="754" spans="1:6" x14ac:dyDescent="0.2">
      <c r="A754" s="1">
        <v>45986</v>
      </c>
      <c r="B754" s="4" t="s">
        <v>754</v>
      </c>
      <c r="C754" s="3" t="str">
        <f t="shared" si="33"/>
        <v>@voiceflow</v>
      </c>
      <c r="D754" s="3" t="str">
        <f t="shared" si="34"/>
        <v>fetch</v>
      </c>
      <c r="E754" s="3" t="str">
        <f t="shared" si="35"/>
        <v>v1.11.1</v>
      </c>
      <c r="F754" t="str">
        <f>IF(COUNTIFS('[1]25 November'!$E:$E,$D754)&gt;0, "NEW FINDING", IF(COUNTIFS('[1]20 September New Socket'!E:E,$D754)&gt;0,"PREVOUS REPORT","N/A"))</f>
        <v>NEW FINDING</v>
      </c>
    </row>
    <row r="755" spans="1:6" x14ac:dyDescent="0.2">
      <c r="A755" s="1">
        <v>45986</v>
      </c>
      <c r="B755" s="4" t="s">
        <v>755</v>
      </c>
      <c r="C755" s="3" t="str">
        <f t="shared" si="33"/>
        <v>@voiceflow</v>
      </c>
      <c r="D755" s="3" t="str">
        <f t="shared" si="34"/>
        <v>fetch</v>
      </c>
      <c r="E755" s="3" t="str">
        <f t="shared" si="35"/>
        <v>v1.11.2</v>
      </c>
      <c r="F755" t="str">
        <f>IF(COUNTIFS('[1]25 November'!$E:$E,$D755)&gt;0, "NEW FINDING", IF(COUNTIFS('[1]20 September New Socket'!E:E,$D755)&gt;0,"PREVOUS REPORT","N/A"))</f>
        <v>NEW FINDING</v>
      </c>
    </row>
    <row r="756" spans="1:6" x14ac:dyDescent="0.2">
      <c r="B756" s="4" t="s">
        <v>756</v>
      </c>
      <c r="C756" s="3" t="str">
        <f t="shared" si="33"/>
        <v>@voiceflow</v>
      </c>
      <c r="D756" s="3" t="str">
        <f t="shared" si="34"/>
        <v>general-types</v>
      </c>
      <c r="E756" s="3" t="str">
        <f t="shared" si="35"/>
        <v>v3.2.22</v>
      </c>
      <c r="F756" t="str">
        <f>IF(COUNTIFS('[1]25 November'!$E:$E,$D756)&gt;0, "NEW FINDING", IF(COUNTIFS('[1]20 September New Socket'!E:E,$D756)&gt;0,"PREVOUS REPORT","N/A"))</f>
        <v>N/A</v>
      </c>
    </row>
    <row r="757" spans="1:6" x14ac:dyDescent="0.2">
      <c r="B757" s="4" t="s">
        <v>757</v>
      </c>
      <c r="C757" s="3" t="str">
        <f t="shared" si="33"/>
        <v>@voiceflow</v>
      </c>
      <c r="D757" s="3" t="str">
        <f t="shared" si="34"/>
        <v>general-types</v>
      </c>
      <c r="E757" s="3" t="str">
        <f t="shared" si="35"/>
        <v>v3.2.23</v>
      </c>
      <c r="F757" t="str">
        <f>IF(COUNTIFS('[1]25 November'!$E:$E,$D757)&gt;0, "NEW FINDING", IF(COUNTIFS('[1]20 September New Socket'!E:E,$D757)&gt;0,"PREVOUS REPORT","N/A"))</f>
        <v>N/A</v>
      </c>
    </row>
    <row r="758" spans="1:6" x14ac:dyDescent="0.2">
      <c r="A758" s="1">
        <v>45986</v>
      </c>
      <c r="B758" s="4" t="s">
        <v>758</v>
      </c>
      <c r="C758" s="3" t="str">
        <f t="shared" si="33"/>
        <v>@voiceflow</v>
      </c>
      <c r="D758" s="3" t="str">
        <f t="shared" si="34"/>
        <v>git-branch-check</v>
      </c>
      <c r="E758" s="3" t="str">
        <f t="shared" si="35"/>
        <v>v1.4.3</v>
      </c>
      <c r="F758" t="str">
        <f>IF(COUNTIFS('[1]25 November'!$E:$E,$D758)&gt;0, "NEW FINDING", IF(COUNTIFS('[1]20 September New Socket'!E:E,$D758)&gt;0,"PREVOUS REPORT","N/A"))</f>
        <v>NEW FINDING</v>
      </c>
    </row>
    <row r="759" spans="1:6" x14ac:dyDescent="0.2">
      <c r="A759" s="1">
        <v>45986</v>
      </c>
      <c r="B759" s="4" t="s">
        <v>759</v>
      </c>
      <c r="C759" s="3" t="str">
        <f t="shared" si="33"/>
        <v>@voiceflow</v>
      </c>
      <c r="D759" s="3" t="str">
        <f t="shared" si="34"/>
        <v>git-branch-check</v>
      </c>
      <c r="E759" s="3" t="str">
        <f t="shared" si="35"/>
        <v>v1.4.4</v>
      </c>
      <c r="F759" t="str">
        <f>IF(COUNTIFS('[1]25 November'!$E:$E,$D759)&gt;0, "NEW FINDING", IF(COUNTIFS('[1]20 September New Socket'!E:E,$D759)&gt;0,"PREVOUS REPORT","N/A"))</f>
        <v>NEW FINDING</v>
      </c>
    </row>
    <row r="760" spans="1:6" x14ac:dyDescent="0.2">
      <c r="A760" s="1">
        <v>45986</v>
      </c>
      <c r="B760" s="4" t="s">
        <v>760</v>
      </c>
      <c r="C760" s="3" t="str">
        <f t="shared" si="33"/>
        <v>@voiceflow</v>
      </c>
      <c r="D760" s="3" t="str">
        <f t="shared" si="34"/>
        <v>google-dfes-types</v>
      </c>
      <c r="E760" s="3" t="str">
        <f t="shared" si="35"/>
        <v>v2.17.12</v>
      </c>
      <c r="F760" t="str">
        <f>IF(COUNTIFS('[1]25 November'!$E:$E,$D760)&gt;0, "NEW FINDING", IF(COUNTIFS('[1]20 September New Socket'!E:E,$D760)&gt;0,"PREVOUS REPORT","N/A"))</f>
        <v>NEW FINDING</v>
      </c>
    </row>
    <row r="761" spans="1:6" x14ac:dyDescent="0.2">
      <c r="A761" s="1">
        <v>45986</v>
      </c>
      <c r="B761" s="4" t="s">
        <v>761</v>
      </c>
      <c r="C761" s="3" t="str">
        <f t="shared" si="33"/>
        <v>@voiceflow</v>
      </c>
      <c r="D761" s="3" t="str">
        <f t="shared" si="34"/>
        <v>google-dfes-types</v>
      </c>
      <c r="E761" s="3" t="str">
        <f t="shared" si="35"/>
        <v>v2.17.13</v>
      </c>
      <c r="F761" t="str">
        <f>IF(COUNTIFS('[1]25 November'!$E:$E,$D761)&gt;0, "NEW FINDING", IF(COUNTIFS('[1]20 September New Socket'!E:E,$D761)&gt;0,"PREVOUS REPORT","N/A"))</f>
        <v>NEW FINDING</v>
      </c>
    </row>
    <row r="762" spans="1:6" x14ac:dyDescent="0.2">
      <c r="A762" s="1">
        <v>45986</v>
      </c>
      <c r="B762" s="4" t="s">
        <v>762</v>
      </c>
      <c r="C762" s="3" t="str">
        <f t="shared" si="33"/>
        <v>@voiceflow</v>
      </c>
      <c r="D762" s="3" t="str">
        <f t="shared" si="34"/>
        <v>google-types</v>
      </c>
      <c r="E762" s="3" t="str">
        <f t="shared" si="35"/>
        <v>v2.21.12</v>
      </c>
      <c r="F762" t="str">
        <f>IF(COUNTIFS('[1]25 November'!$E:$E,$D762)&gt;0, "NEW FINDING", IF(COUNTIFS('[1]20 September New Socket'!E:E,$D762)&gt;0,"PREVOUS REPORT","N/A"))</f>
        <v>NEW FINDING</v>
      </c>
    </row>
    <row r="763" spans="1:6" x14ac:dyDescent="0.2">
      <c r="A763" s="1">
        <v>45986</v>
      </c>
      <c r="B763" s="4" t="s">
        <v>763</v>
      </c>
      <c r="C763" s="3" t="str">
        <f t="shared" si="33"/>
        <v>@voiceflow</v>
      </c>
      <c r="D763" s="3" t="str">
        <f t="shared" si="34"/>
        <v>google-types</v>
      </c>
      <c r="E763" s="3" t="str">
        <f t="shared" si="35"/>
        <v>v2.21.13</v>
      </c>
      <c r="F763" t="str">
        <f>IF(COUNTIFS('[1]25 November'!$E:$E,$D763)&gt;0, "NEW FINDING", IF(COUNTIFS('[1]20 September New Socket'!E:E,$D763)&gt;0,"PREVOUS REPORT","N/A"))</f>
        <v>NEW FINDING</v>
      </c>
    </row>
    <row r="764" spans="1:6" x14ac:dyDescent="0.2">
      <c r="A764" s="1">
        <v>45986</v>
      </c>
      <c r="B764" s="4" t="s">
        <v>764</v>
      </c>
      <c r="C764" s="3" t="str">
        <f t="shared" si="33"/>
        <v>@voiceflow</v>
      </c>
      <c r="D764" s="3" t="str">
        <f t="shared" si="34"/>
        <v>husky-config</v>
      </c>
      <c r="E764" s="3" t="str">
        <f t="shared" si="35"/>
        <v>v1.3.1</v>
      </c>
      <c r="F764" t="str">
        <f>IF(COUNTIFS('[1]25 November'!$E:$E,$D764)&gt;0, "NEW FINDING", IF(COUNTIFS('[1]20 September New Socket'!E:E,$D764)&gt;0,"PREVOUS REPORT","N/A"))</f>
        <v>NEW FINDING</v>
      </c>
    </row>
    <row r="765" spans="1:6" x14ac:dyDescent="0.2">
      <c r="A765" s="1">
        <v>45986</v>
      </c>
      <c r="B765" s="4" t="s">
        <v>765</v>
      </c>
      <c r="C765" s="3" t="str">
        <f t="shared" si="33"/>
        <v>@voiceflow</v>
      </c>
      <c r="D765" s="3" t="str">
        <f t="shared" si="34"/>
        <v>husky-config</v>
      </c>
      <c r="E765" s="3" t="str">
        <f t="shared" si="35"/>
        <v>v1.3.2</v>
      </c>
      <c r="F765" t="str">
        <f>IF(COUNTIFS('[1]25 November'!$E:$E,$D765)&gt;0, "NEW FINDING", IF(COUNTIFS('[1]20 September New Socket'!E:E,$D765)&gt;0,"PREVOUS REPORT","N/A"))</f>
        <v>NEW FINDING</v>
      </c>
    </row>
    <row r="766" spans="1:6" x14ac:dyDescent="0.2">
      <c r="A766" s="1">
        <v>45986</v>
      </c>
      <c r="B766" s="4" t="s">
        <v>766</v>
      </c>
      <c r="C766" s="3" t="str">
        <f t="shared" si="33"/>
        <v>@voiceflow</v>
      </c>
      <c r="D766" s="3" t="str">
        <f t="shared" si="34"/>
        <v>logger</v>
      </c>
      <c r="E766" s="3" t="str">
        <f t="shared" si="35"/>
        <v>v2.4.2</v>
      </c>
      <c r="F766" t="str">
        <f>IF(COUNTIFS('[1]25 November'!$E:$E,$D766)&gt;0, "NEW FINDING", IF(COUNTIFS('[1]20 September New Socket'!E:E,$D766)&gt;0,"PREVOUS REPORT","N/A"))</f>
        <v>NEW FINDING</v>
      </c>
    </row>
    <row r="767" spans="1:6" x14ac:dyDescent="0.2">
      <c r="A767" s="1">
        <v>45986</v>
      </c>
      <c r="B767" s="4" t="s">
        <v>767</v>
      </c>
      <c r="C767" s="3" t="str">
        <f t="shared" si="33"/>
        <v>@voiceflow</v>
      </c>
      <c r="D767" s="3" t="str">
        <f t="shared" si="34"/>
        <v>logger</v>
      </c>
      <c r="E767" s="3" t="str">
        <f t="shared" si="35"/>
        <v>v2.4.3</v>
      </c>
      <c r="F767" t="str">
        <f>IF(COUNTIFS('[1]25 November'!$E:$E,$D767)&gt;0, "NEW FINDING", IF(COUNTIFS('[1]20 September New Socket'!E:E,$D767)&gt;0,"PREVOUS REPORT","N/A"))</f>
        <v>NEW FINDING</v>
      </c>
    </row>
    <row r="768" spans="1:6" x14ac:dyDescent="0.2">
      <c r="B768" s="4" t="s">
        <v>768</v>
      </c>
      <c r="C768" s="3" t="str">
        <f t="shared" si="33"/>
        <v>@voiceflow</v>
      </c>
      <c r="D768" s="3" t="str">
        <f t="shared" si="34"/>
        <v>metrics</v>
      </c>
      <c r="E768" s="3" t="str">
        <f t="shared" si="35"/>
        <v>v1.5.1</v>
      </c>
      <c r="F768" t="str">
        <f>IF(COUNTIFS('[1]25 November'!$E:$E,$D768)&gt;0, "NEW FINDING", IF(COUNTIFS('[1]20 September New Socket'!E:E,$D768)&gt;0,"PREVOUS REPORT","N/A"))</f>
        <v>N/A</v>
      </c>
    </row>
    <row r="769" spans="1:6" x14ac:dyDescent="0.2">
      <c r="B769" s="4" t="s">
        <v>769</v>
      </c>
      <c r="C769" s="3" t="str">
        <f t="shared" ref="C769:C832" si="36">IF(LEFT(B769,1)="@",LEFT(B769,FIND("/",B769)-1),"")</f>
        <v>@voiceflow</v>
      </c>
      <c r="D769" s="3" t="str">
        <f t="shared" ref="D769:D832" si="37">IF(LEFT(B769,1)="@",
    MID(
        B769,
        FIND("/",B769)+1,
        IFERROR(
            FIND("@",B769,FIND("/",B769)+1) - FIND("/",B769) - 1,
            LEN(B769) - FIND("/",B769)
        )
    ),
    IFERROR(LEFT(B769,FIND("@",B769)-1), B769)
)</f>
        <v>metrics</v>
      </c>
      <c r="E769" s="3" t="str">
        <f t="shared" ref="E769:E832" si="38">RIGHT(B769,LEN(B769)-FIND("@",B769,LEN(B769)-LEN(SUBSTITUTE(B769,"@",""))+1))</f>
        <v>v1.5.2</v>
      </c>
      <c r="F769" t="str">
        <f>IF(COUNTIFS('[1]25 November'!$E:$E,$D769)&gt;0, "NEW FINDING", IF(COUNTIFS('[1]20 September New Socket'!E:E,$D769)&gt;0,"PREVOUS REPORT","N/A"))</f>
        <v>N/A</v>
      </c>
    </row>
    <row r="770" spans="1:6" x14ac:dyDescent="0.2">
      <c r="B770" s="4" t="s">
        <v>770</v>
      </c>
      <c r="C770" s="3" t="str">
        <f t="shared" si="36"/>
        <v>@voiceflow</v>
      </c>
      <c r="D770" s="3" t="str">
        <f t="shared" si="37"/>
        <v>natural-language-commander</v>
      </c>
      <c r="E770" s="3" t="str">
        <f t="shared" si="38"/>
        <v>v0.5.2</v>
      </c>
      <c r="F770" t="str">
        <f>IF(COUNTIFS('[1]25 November'!$E:$E,$D770)&gt;0, "NEW FINDING", IF(COUNTIFS('[1]20 September New Socket'!E:E,$D770)&gt;0,"PREVOUS REPORT","N/A"))</f>
        <v>N/A</v>
      </c>
    </row>
    <row r="771" spans="1:6" x14ac:dyDescent="0.2">
      <c r="B771" s="4" t="s">
        <v>771</v>
      </c>
      <c r="C771" s="3" t="str">
        <f t="shared" si="36"/>
        <v>@voiceflow</v>
      </c>
      <c r="D771" s="3" t="str">
        <f t="shared" si="37"/>
        <v>natural-language-commander</v>
      </c>
      <c r="E771" s="3" t="str">
        <f t="shared" si="38"/>
        <v>v0.5.3</v>
      </c>
      <c r="F771" t="str">
        <f>IF(COUNTIFS('[1]25 November'!$E:$E,$D771)&gt;0, "NEW FINDING", IF(COUNTIFS('[1]20 September New Socket'!E:E,$D771)&gt;0,"PREVOUS REPORT","N/A"))</f>
        <v>N/A</v>
      </c>
    </row>
    <row r="772" spans="1:6" x14ac:dyDescent="0.2">
      <c r="A772" s="1">
        <v>45986</v>
      </c>
      <c r="B772" s="4" t="s">
        <v>772</v>
      </c>
      <c r="C772" s="3" t="str">
        <f t="shared" si="36"/>
        <v>@voiceflow</v>
      </c>
      <c r="D772" s="3" t="str">
        <f t="shared" si="37"/>
        <v>nestjs-common</v>
      </c>
      <c r="E772" s="3" t="str">
        <f t="shared" si="38"/>
        <v>v2.75.2</v>
      </c>
      <c r="F772" t="str">
        <f>IF(COUNTIFS('[1]25 November'!$E:$E,$D772)&gt;0, "NEW FINDING", IF(COUNTIFS('[1]20 September New Socket'!E:E,$D772)&gt;0,"PREVOUS REPORT","N/A"))</f>
        <v>NEW FINDING</v>
      </c>
    </row>
    <row r="773" spans="1:6" x14ac:dyDescent="0.2">
      <c r="A773" s="1">
        <v>45986</v>
      </c>
      <c r="B773" s="4" t="s">
        <v>773</v>
      </c>
      <c r="C773" s="3" t="str">
        <f t="shared" si="36"/>
        <v>@voiceflow</v>
      </c>
      <c r="D773" s="3" t="str">
        <f t="shared" si="37"/>
        <v>nestjs-common</v>
      </c>
      <c r="E773" s="3" t="str">
        <f t="shared" si="38"/>
        <v>v2.75.3</v>
      </c>
      <c r="F773" t="str">
        <f>IF(COUNTIFS('[1]25 November'!$E:$E,$D773)&gt;0, "NEW FINDING", IF(COUNTIFS('[1]20 September New Socket'!E:E,$D773)&gt;0,"PREVOUS REPORT","N/A"))</f>
        <v>NEW FINDING</v>
      </c>
    </row>
    <row r="774" spans="1:6" x14ac:dyDescent="0.2">
      <c r="A774" s="1">
        <v>45986</v>
      </c>
      <c r="B774" s="4" t="s">
        <v>774</v>
      </c>
      <c r="C774" s="3" t="str">
        <f t="shared" si="36"/>
        <v>@voiceflow</v>
      </c>
      <c r="D774" s="3" t="str">
        <f t="shared" si="37"/>
        <v>nestjs-mongodb</v>
      </c>
      <c r="E774" s="3" t="str">
        <f t="shared" si="38"/>
        <v>v1.3.1</v>
      </c>
      <c r="F774" t="str">
        <f>IF(COUNTIFS('[1]25 November'!$E:$E,$D774)&gt;0, "NEW FINDING", IF(COUNTIFS('[1]20 September New Socket'!E:E,$D774)&gt;0,"PREVOUS REPORT","N/A"))</f>
        <v>NEW FINDING</v>
      </c>
    </row>
    <row r="775" spans="1:6" x14ac:dyDescent="0.2">
      <c r="A775" s="1">
        <v>45986</v>
      </c>
      <c r="B775" s="4" t="s">
        <v>775</v>
      </c>
      <c r="C775" s="3" t="str">
        <f t="shared" si="36"/>
        <v>@voiceflow</v>
      </c>
      <c r="D775" s="3" t="str">
        <f t="shared" si="37"/>
        <v>nestjs-mongodb</v>
      </c>
      <c r="E775" s="3" t="str">
        <f t="shared" si="38"/>
        <v>v1.3.2</v>
      </c>
      <c r="F775" t="str">
        <f>IF(COUNTIFS('[1]25 November'!$E:$E,$D775)&gt;0, "NEW FINDING", IF(COUNTIFS('[1]20 September New Socket'!E:E,$D775)&gt;0,"PREVOUS REPORT","N/A"))</f>
        <v>NEW FINDING</v>
      </c>
    </row>
    <row r="776" spans="1:6" x14ac:dyDescent="0.2">
      <c r="A776" s="1">
        <v>45986</v>
      </c>
      <c r="B776" s="4" t="s">
        <v>776</v>
      </c>
      <c r="C776" s="3" t="str">
        <f t="shared" si="36"/>
        <v>@voiceflow</v>
      </c>
      <c r="D776" s="3" t="str">
        <f t="shared" si="37"/>
        <v>nestjs-rate-limit</v>
      </c>
      <c r="E776" s="3" t="str">
        <f t="shared" si="38"/>
        <v>v1.3.2</v>
      </c>
      <c r="F776" t="str">
        <f>IF(COUNTIFS('[1]25 November'!$E:$E,$D776)&gt;0, "NEW FINDING", IF(COUNTIFS('[1]20 September New Socket'!E:E,$D776)&gt;0,"PREVOUS REPORT","N/A"))</f>
        <v>NEW FINDING</v>
      </c>
    </row>
    <row r="777" spans="1:6" x14ac:dyDescent="0.2">
      <c r="A777" s="1">
        <v>45986</v>
      </c>
      <c r="B777" s="4" t="s">
        <v>777</v>
      </c>
      <c r="C777" s="3" t="str">
        <f t="shared" si="36"/>
        <v>@voiceflow</v>
      </c>
      <c r="D777" s="3" t="str">
        <f t="shared" si="37"/>
        <v>nestjs-rate-limit</v>
      </c>
      <c r="E777" s="3" t="str">
        <f t="shared" si="38"/>
        <v>v1.3.3</v>
      </c>
      <c r="F777" t="str">
        <f>IF(COUNTIFS('[1]25 November'!$E:$E,$D777)&gt;0, "NEW FINDING", IF(COUNTIFS('[1]20 September New Socket'!E:E,$D777)&gt;0,"PREVOUS REPORT","N/A"))</f>
        <v>NEW FINDING</v>
      </c>
    </row>
    <row r="778" spans="1:6" x14ac:dyDescent="0.2">
      <c r="B778" s="4" t="s">
        <v>778</v>
      </c>
      <c r="C778" s="3" t="str">
        <f t="shared" si="36"/>
        <v>@voiceflow</v>
      </c>
      <c r="D778" s="3" t="str">
        <f t="shared" si="37"/>
        <v>nestjs-redis</v>
      </c>
      <c r="E778" s="3" t="str">
        <f t="shared" si="38"/>
        <v>v1.3.1</v>
      </c>
      <c r="F778" t="str">
        <f>IF(COUNTIFS('[1]25 November'!$E:$E,$D778)&gt;0, "NEW FINDING", IF(COUNTIFS('[1]20 September New Socket'!E:E,$D778)&gt;0,"PREVOUS REPORT","N/A"))</f>
        <v>N/A</v>
      </c>
    </row>
    <row r="779" spans="1:6" x14ac:dyDescent="0.2">
      <c r="B779" s="4" t="s">
        <v>779</v>
      </c>
      <c r="C779" s="3" t="str">
        <f t="shared" si="36"/>
        <v>@voiceflow</v>
      </c>
      <c r="D779" s="3" t="str">
        <f t="shared" si="37"/>
        <v>nestjs-redis</v>
      </c>
      <c r="E779" s="3" t="str">
        <f t="shared" si="38"/>
        <v>v1.3.2</v>
      </c>
      <c r="F779" t="str">
        <f>IF(COUNTIFS('[1]25 November'!$E:$E,$D779)&gt;0, "NEW FINDING", IF(COUNTIFS('[1]20 September New Socket'!E:E,$D779)&gt;0,"PREVOUS REPORT","N/A"))</f>
        <v>N/A</v>
      </c>
    </row>
    <row r="780" spans="1:6" x14ac:dyDescent="0.2">
      <c r="A780" s="1">
        <v>45986</v>
      </c>
      <c r="B780" s="4" t="s">
        <v>780</v>
      </c>
      <c r="C780" s="3" t="str">
        <f t="shared" si="36"/>
        <v>@voiceflow</v>
      </c>
      <c r="D780" s="3" t="str">
        <f t="shared" si="37"/>
        <v>nestjs-timeout</v>
      </c>
      <c r="E780" s="3" t="str">
        <f t="shared" si="38"/>
        <v>v1.3.1</v>
      </c>
      <c r="F780" t="str">
        <f>IF(COUNTIFS('[1]25 November'!$E:$E,$D780)&gt;0, "NEW FINDING", IF(COUNTIFS('[1]20 September New Socket'!E:E,$D780)&gt;0,"PREVOUS REPORT","N/A"))</f>
        <v>NEW FINDING</v>
      </c>
    </row>
    <row r="781" spans="1:6" x14ac:dyDescent="0.2">
      <c r="A781" s="1">
        <v>45986</v>
      </c>
      <c r="B781" s="4" t="s">
        <v>781</v>
      </c>
      <c r="C781" s="3" t="str">
        <f t="shared" si="36"/>
        <v>@voiceflow</v>
      </c>
      <c r="D781" s="3" t="str">
        <f t="shared" si="37"/>
        <v>nestjs-timeout</v>
      </c>
      <c r="E781" s="3" t="str">
        <f t="shared" si="38"/>
        <v>v1.3.2</v>
      </c>
      <c r="F781" t="str">
        <f>IF(COUNTIFS('[1]25 November'!$E:$E,$D781)&gt;0, "NEW FINDING", IF(COUNTIFS('[1]20 September New Socket'!E:E,$D781)&gt;0,"PREVOUS REPORT","N/A"))</f>
        <v>NEW FINDING</v>
      </c>
    </row>
    <row r="782" spans="1:6" x14ac:dyDescent="0.2">
      <c r="A782" s="1">
        <v>45986</v>
      </c>
      <c r="B782" s="4" t="s">
        <v>782</v>
      </c>
      <c r="C782" s="3" t="str">
        <f t="shared" si="36"/>
        <v>@voiceflow</v>
      </c>
      <c r="D782" s="3" t="str">
        <f t="shared" si="37"/>
        <v>npm-package-json-lint-config</v>
      </c>
      <c r="E782" s="3" t="str">
        <f t="shared" si="38"/>
        <v>v1.1.1</v>
      </c>
      <c r="F782" t="str">
        <f>IF(COUNTIFS('[1]25 November'!$E:$E,$D782)&gt;0, "NEW FINDING", IF(COUNTIFS('[1]20 September New Socket'!E:E,$D782)&gt;0,"PREVOUS REPORT","N/A"))</f>
        <v>NEW FINDING</v>
      </c>
    </row>
    <row r="783" spans="1:6" x14ac:dyDescent="0.2">
      <c r="A783" s="1">
        <v>45986</v>
      </c>
      <c r="B783" s="4" t="s">
        <v>783</v>
      </c>
      <c r="C783" s="3" t="str">
        <f t="shared" si="36"/>
        <v>@voiceflow</v>
      </c>
      <c r="D783" s="3" t="str">
        <f t="shared" si="37"/>
        <v>npm-package-json-lint-config</v>
      </c>
      <c r="E783" s="3" t="str">
        <f t="shared" si="38"/>
        <v>v1.1.2</v>
      </c>
      <c r="F783" t="str">
        <f>IF(COUNTIFS('[1]25 November'!$E:$E,$D783)&gt;0, "NEW FINDING", IF(COUNTIFS('[1]20 September New Socket'!E:E,$D783)&gt;0,"PREVOUS REPORT","N/A"))</f>
        <v>NEW FINDING</v>
      </c>
    </row>
    <row r="784" spans="1:6" x14ac:dyDescent="0.2">
      <c r="A784" s="1">
        <v>45986</v>
      </c>
      <c r="B784" s="4" t="s">
        <v>784</v>
      </c>
      <c r="C784" s="3" t="str">
        <f t="shared" si="36"/>
        <v>@voiceflow</v>
      </c>
      <c r="D784" s="3" t="str">
        <f t="shared" si="37"/>
        <v>openai</v>
      </c>
      <c r="E784" s="3" t="str">
        <f t="shared" si="38"/>
        <v>v3.2.2</v>
      </c>
      <c r="F784" t="str">
        <f>IF(COUNTIFS('[1]25 November'!$E:$E,$D784)&gt;0, "NEW FINDING", IF(COUNTIFS('[1]20 September New Socket'!E:E,$D784)&gt;0,"PREVOUS REPORT","N/A"))</f>
        <v>NEW FINDING</v>
      </c>
    </row>
    <row r="785" spans="1:6" x14ac:dyDescent="0.2">
      <c r="A785" s="1">
        <v>45986</v>
      </c>
      <c r="B785" s="4" t="s">
        <v>785</v>
      </c>
      <c r="C785" s="3" t="str">
        <f t="shared" si="36"/>
        <v>@voiceflow</v>
      </c>
      <c r="D785" s="3" t="str">
        <f t="shared" si="37"/>
        <v>openai</v>
      </c>
      <c r="E785" s="3" t="str">
        <f t="shared" si="38"/>
        <v>v3.2.3</v>
      </c>
      <c r="F785" t="str">
        <f>IF(COUNTIFS('[1]25 November'!$E:$E,$D785)&gt;0, "NEW FINDING", IF(COUNTIFS('[1]20 September New Socket'!E:E,$D785)&gt;0,"PREVOUS REPORT","N/A"))</f>
        <v>NEW FINDING</v>
      </c>
    </row>
    <row r="786" spans="1:6" x14ac:dyDescent="0.2">
      <c r="A786" s="1">
        <v>45986</v>
      </c>
      <c r="B786" s="4" t="s">
        <v>786</v>
      </c>
      <c r="C786" s="3" t="str">
        <f t="shared" si="36"/>
        <v>@voiceflow</v>
      </c>
      <c r="D786" s="3" t="str">
        <f t="shared" si="37"/>
        <v>pino</v>
      </c>
      <c r="E786" s="3" t="str">
        <f t="shared" si="38"/>
        <v>v6.11.3</v>
      </c>
      <c r="F786" t="str">
        <f>IF(COUNTIFS('[1]25 November'!$E:$E,$D786)&gt;0, "NEW FINDING", IF(COUNTIFS('[1]20 September New Socket'!E:E,$D786)&gt;0,"PREVOUS REPORT","N/A"))</f>
        <v>NEW FINDING</v>
      </c>
    </row>
    <row r="787" spans="1:6" x14ac:dyDescent="0.2">
      <c r="A787" s="1">
        <v>45986</v>
      </c>
      <c r="B787" s="4" t="s">
        <v>787</v>
      </c>
      <c r="C787" s="3" t="str">
        <f t="shared" si="36"/>
        <v>@voiceflow</v>
      </c>
      <c r="D787" s="3" t="str">
        <f t="shared" si="37"/>
        <v>pino</v>
      </c>
      <c r="E787" s="3" t="str">
        <f t="shared" si="38"/>
        <v>v6.11.4</v>
      </c>
      <c r="F787" t="str">
        <f>IF(COUNTIFS('[1]25 November'!$E:$E,$D787)&gt;0, "NEW FINDING", IF(COUNTIFS('[1]20 September New Socket'!E:E,$D787)&gt;0,"PREVOUS REPORT","N/A"))</f>
        <v>NEW FINDING</v>
      </c>
    </row>
    <row r="788" spans="1:6" x14ac:dyDescent="0.2">
      <c r="B788" s="4" t="s">
        <v>788</v>
      </c>
      <c r="C788" s="3" t="str">
        <f t="shared" si="36"/>
        <v>@voiceflow</v>
      </c>
      <c r="D788" s="3" t="str">
        <f t="shared" si="37"/>
        <v>pino-pretty</v>
      </c>
      <c r="E788" s="3" t="str">
        <f t="shared" si="38"/>
        <v>v4.4.1</v>
      </c>
      <c r="F788" t="str">
        <f>IF(COUNTIFS('[1]25 November'!$E:$E,$D788)&gt;0, "NEW FINDING", IF(COUNTIFS('[1]20 September New Socket'!E:E,$D788)&gt;0,"PREVOUS REPORT","N/A"))</f>
        <v>N/A</v>
      </c>
    </row>
    <row r="789" spans="1:6" x14ac:dyDescent="0.2">
      <c r="B789" s="4" t="s">
        <v>789</v>
      </c>
      <c r="C789" s="3" t="str">
        <f t="shared" si="36"/>
        <v>@voiceflow</v>
      </c>
      <c r="D789" s="3" t="str">
        <f t="shared" si="37"/>
        <v>pino-pretty</v>
      </c>
      <c r="E789" s="3" t="str">
        <f t="shared" si="38"/>
        <v>v4.4.2</v>
      </c>
      <c r="F789" t="str">
        <f>IF(COUNTIFS('[1]25 November'!$E:$E,$D789)&gt;0, "NEW FINDING", IF(COUNTIFS('[1]20 September New Socket'!E:E,$D789)&gt;0,"PREVOUS REPORT","N/A"))</f>
        <v>N/A</v>
      </c>
    </row>
    <row r="790" spans="1:6" x14ac:dyDescent="0.2">
      <c r="A790" s="1">
        <v>45986</v>
      </c>
      <c r="B790" s="4" t="s">
        <v>790</v>
      </c>
      <c r="C790" s="3" t="str">
        <f t="shared" si="36"/>
        <v>@voiceflow</v>
      </c>
      <c r="D790" s="3" t="str">
        <f t="shared" si="37"/>
        <v>prettier-config</v>
      </c>
      <c r="E790" s="3" t="str">
        <f t="shared" si="38"/>
        <v>v1.10.1</v>
      </c>
      <c r="F790" t="str">
        <f>IF(COUNTIFS('[1]25 November'!$E:$E,$D790)&gt;0, "NEW FINDING", IF(COUNTIFS('[1]20 September New Socket'!E:E,$D790)&gt;0,"PREVOUS REPORT","N/A"))</f>
        <v>NEW FINDING</v>
      </c>
    </row>
    <row r="791" spans="1:6" x14ac:dyDescent="0.2">
      <c r="A791" s="1">
        <v>45986</v>
      </c>
      <c r="B791" s="4" t="s">
        <v>791</v>
      </c>
      <c r="C791" s="3" t="str">
        <f t="shared" si="36"/>
        <v>@voiceflow</v>
      </c>
      <c r="D791" s="3" t="str">
        <f t="shared" si="37"/>
        <v>prettier-config</v>
      </c>
      <c r="E791" s="3" t="str">
        <f t="shared" si="38"/>
        <v>v1.10.2</v>
      </c>
      <c r="F791" t="str">
        <f>IF(COUNTIFS('[1]25 November'!$E:$E,$D791)&gt;0, "NEW FINDING", IF(COUNTIFS('[1]20 September New Socket'!E:E,$D791)&gt;0,"PREVOUS REPORT","N/A"))</f>
        <v>NEW FINDING</v>
      </c>
    </row>
    <row r="792" spans="1:6" x14ac:dyDescent="0.2">
      <c r="B792" s="4" t="s">
        <v>792</v>
      </c>
      <c r="C792" s="3" t="str">
        <f t="shared" si="36"/>
        <v>@voiceflow</v>
      </c>
      <c r="D792" s="3" t="str">
        <f t="shared" si="37"/>
        <v>react-chat</v>
      </c>
      <c r="E792" s="3" t="str">
        <f t="shared" si="38"/>
        <v>v1.65.3</v>
      </c>
      <c r="F792" t="str">
        <f>IF(COUNTIFS('[1]25 November'!$E:$E,$D792)&gt;0, "NEW FINDING", IF(COUNTIFS('[1]20 September New Socket'!E:E,$D792)&gt;0,"PREVOUS REPORT","N/A"))</f>
        <v>N/A</v>
      </c>
    </row>
    <row r="793" spans="1:6" x14ac:dyDescent="0.2">
      <c r="B793" s="4" t="s">
        <v>793</v>
      </c>
      <c r="C793" s="3" t="str">
        <f t="shared" si="36"/>
        <v>@voiceflow</v>
      </c>
      <c r="D793" s="3" t="str">
        <f t="shared" si="37"/>
        <v>react-chat</v>
      </c>
      <c r="E793" s="3" t="str">
        <f t="shared" si="38"/>
        <v>v1.65.4</v>
      </c>
      <c r="F793" t="str">
        <f>IF(COUNTIFS('[1]25 November'!$E:$E,$D793)&gt;0, "NEW FINDING", IF(COUNTIFS('[1]20 September New Socket'!E:E,$D793)&gt;0,"PREVOUS REPORT","N/A"))</f>
        <v>N/A</v>
      </c>
    </row>
    <row r="794" spans="1:6" x14ac:dyDescent="0.2">
      <c r="B794" s="4" t="s">
        <v>794</v>
      </c>
      <c r="C794" s="3" t="str">
        <f t="shared" si="36"/>
        <v>@voiceflow</v>
      </c>
      <c r="D794" s="3" t="str">
        <f t="shared" si="37"/>
        <v>runtime</v>
      </c>
      <c r="E794" s="3" t="str">
        <f t="shared" si="38"/>
        <v>v1.29.1</v>
      </c>
      <c r="F794" t="str">
        <f>IF(COUNTIFS('[1]25 November'!$E:$E,$D794)&gt;0, "NEW FINDING", IF(COUNTIFS('[1]20 September New Socket'!E:E,$D794)&gt;0,"PREVOUS REPORT","N/A"))</f>
        <v>N/A</v>
      </c>
    </row>
    <row r="795" spans="1:6" x14ac:dyDescent="0.2">
      <c r="B795" s="4" t="s">
        <v>795</v>
      </c>
      <c r="C795" s="3" t="str">
        <f t="shared" si="36"/>
        <v>@voiceflow</v>
      </c>
      <c r="D795" s="3" t="str">
        <f t="shared" si="37"/>
        <v>runtime</v>
      </c>
      <c r="E795" s="3" t="str">
        <f t="shared" si="38"/>
        <v>v1.29.2</v>
      </c>
      <c r="F795" t="str">
        <f>IF(COUNTIFS('[1]25 November'!$E:$E,$D795)&gt;0, "NEW FINDING", IF(COUNTIFS('[1]20 September New Socket'!E:E,$D795)&gt;0,"PREVOUS REPORT","N/A"))</f>
        <v>N/A</v>
      </c>
    </row>
    <row r="796" spans="1:6" x14ac:dyDescent="0.2">
      <c r="B796" s="4" t="s">
        <v>796</v>
      </c>
      <c r="C796" s="3" t="str">
        <f t="shared" si="36"/>
        <v>@voiceflow</v>
      </c>
      <c r="D796" s="3" t="str">
        <f t="shared" si="37"/>
        <v>runtime-client-js</v>
      </c>
      <c r="E796" s="3" t="str">
        <f t="shared" si="38"/>
        <v>v1.17.2</v>
      </c>
      <c r="F796" t="str">
        <f>IF(COUNTIFS('[1]25 November'!$E:$E,$D796)&gt;0, "NEW FINDING", IF(COUNTIFS('[1]20 September New Socket'!E:E,$D796)&gt;0,"PREVOUS REPORT","N/A"))</f>
        <v>N/A</v>
      </c>
    </row>
    <row r="797" spans="1:6" x14ac:dyDescent="0.2">
      <c r="B797" s="4" t="s">
        <v>797</v>
      </c>
      <c r="C797" s="3" t="str">
        <f t="shared" si="36"/>
        <v>@voiceflow</v>
      </c>
      <c r="D797" s="3" t="str">
        <f t="shared" si="37"/>
        <v>runtime-client-js</v>
      </c>
      <c r="E797" s="3" t="str">
        <f t="shared" si="38"/>
        <v>v1.17.3</v>
      </c>
      <c r="F797" t="str">
        <f>IF(COUNTIFS('[1]25 November'!$E:$E,$D797)&gt;0, "NEW FINDING", IF(COUNTIFS('[1]20 September New Socket'!E:E,$D797)&gt;0,"PREVOUS REPORT","N/A"))</f>
        <v>N/A</v>
      </c>
    </row>
    <row r="798" spans="1:6" x14ac:dyDescent="0.2">
      <c r="A798" s="1">
        <v>45986</v>
      </c>
      <c r="B798" s="4" t="s">
        <v>798</v>
      </c>
      <c r="C798" s="3" t="str">
        <f t="shared" si="36"/>
        <v>@voiceflow</v>
      </c>
      <c r="D798" s="3" t="str">
        <f t="shared" si="37"/>
        <v>sdk-runtime</v>
      </c>
      <c r="E798" s="3" t="str">
        <f t="shared" si="38"/>
        <v>v1.43.1</v>
      </c>
      <c r="F798" t="str">
        <f>IF(COUNTIFS('[1]25 November'!$E:$E,$D798)&gt;0, "NEW FINDING", IF(COUNTIFS('[1]20 September New Socket'!E:E,$D798)&gt;0,"PREVOUS REPORT","N/A"))</f>
        <v>NEW FINDING</v>
      </c>
    </row>
    <row r="799" spans="1:6" x14ac:dyDescent="0.2">
      <c r="A799" s="1">
        <v>45986</v>
      </c>
      <c r="B799" s="4" t="s">
        <v>799</v>
      </c>
      <c r="C799" s="3" t="str">
        <f t="shared" si="36"/>
        <v>@voiceflow</v>
      </c>
      <c r="D799" s="3" t="str">
        <f t="shared" si="37"/>
        <v>sdk-runtime</v>
      </c>
      <c r="E799" s="3" t="str">
        <f t="shared" si="38"/>
        <v>v1.43.2</v>
      </c>
      <c r="F799" t="str">
        <f>IF(COUNTIFS('[1]25 November'!$E:$E,$D799)&gt;0, "NEW FINDING", IF(COUNTIFS('[1]20 September New Socket'!E:E,$D799)&gt;0,"PREVOUS REPORT","N/A"))</f>
        <v>NEW FINDING</v>
      </c>
    </row>
    <row r="800" spans="1:6" x14ac:dyDescent="0.2">
      <c r="B800" s="4" t="s">
        <v>800</v>
      </c>
      <c r="C800" s="3" t="str">
        <f t="shared" si="36"/>
        <v>@voiceflow</v>
      </c>
      <c r="D800" s="3" t="str">
        <f t="shared" si="37"/>
        <v>secrets-provider</v>
      </c>
      <c r="E800" s="3" t="str">
        <f t="shared" si="38"/>
        <v>v1.9.2</v>
      </c>
      <c r="F800" t="str">
        <f>IF(COUNTIFS('[1]25 November'!$E:$E,$D800)&gt;0, "NEW FINDING", IF(COUNTIFS('[1]20 September New Socket'!E:E,$D800)&gt;0,"PREVOUS REPORT","N/A"))</f>
        <v>N/A</v>
      </c>
    </row>
    <row r="801" spans="1:6" x14ac:dyDescent="0.2">
      <c r="B801" s="4" t="s">
        <v>801</v>
      </c>
      <c r="C801" s="3" t="str">
        <f t="shared" si="36"/>
        <v>@voiceflow</v>
      </c>
      <c r="D801" s="3" t="str">
        <f t="shared" si="37"/>
        <v>secrets-provider</v>
      </c>
      <c r="E801" s="3" t="str">
        <f t="shared" si="38"/>
        <v>v1.9.3</v>
      </c>
      <c r="F801" t="str">
        <f>IF(COUNTIFS('[1]25 November'!$E:$E,$D801)&gt;0, "NEW FINDING", IF(COUNTIFS('[1]20 September New Socket'!E:E,$D801)&gt;0,"PREVOUS REPORT","N/A"))</f>
        <v>N/A</v>
      </c>
    </row>
    <row r="802" spans="1:6" x14ac:dyDescent="0.2">
      <c r="A802" s="1">
        <v>45986</v>
      </c>
      <c r="B802" s="4" t="s">
        <v>802</v>
      </c>
      <c r="C802" s="3" t="str">
        <f t="shared" si="36"/>
        <v>@voiceflow</v>
      </c>
      <c r="D802" s="3" t="str">
        <f t="shared" si="37"/>
        <v>semantic-release-config</v>
      </c>
      <c r="E802" s="3" t="str">
        <f t="shared" si="38"/>
        <v>v1.4.1</v>
      </c>
      <c r="F802" t="str">
        <f>IF(COUNTIFS('[1]25 November'!$E:$E,$D802)&gt;0, "NEW FINDING", IF(COUNTIFS('[1]20 September New Socket'!E:E,$D802)&gt;0,"PREVOUS REPORT","N/A"))</f>
        <v>NEW FINDING</v>
      </c>
    </row>
    <row r="803" spans="1:6" x14ac:dyDescent="0.2">
      <c r="A803" s="1">
        <v>45986</v>
      </c>
      <c r="B803" s="4" t="s">
        <v>803</v>
      </c>
      <c r="C803" s="3" t="str">
        <f t="shared" si="36"/>
        <v>@voiceflow</v>
      </c>
      <c r="D803" s="3" t="str">
        <f t="shared" si="37"/>
        <v>semantic-release-config</v>
      </c>
      <c r="E803" s="3" t="str">
        <f t="shared" si="38"/>
        <v>v1.4.2</v>
      </c>
      <c r="F803" t="str">
        <f>IF(COUNTIFS('[1]25 November'!$E:$E,$D803)&gt;0, "NEW FINDING", IF(COUNTIFS('[1]20 September New Socket'!E:E,$D803)&gt;0,"PREVOUS REPORT","N/A"))</f>
        <v>NEW FINDING</v>
      </c>
    </row>
    <row r="804" spans="1:6" x14ac:dyDescent="0.2">
      <c r="A804" s="1">
        <v>45986</v>
      </c>
      <c r="B804" s="4" t="s">
        <v>804</v>
      </c>
      <c r="C804" s="3" t="str">
        <f t="shared" si="36"/>
        <v>@voiceflow</v>
      </c>
      <c r="D804" s="3" t="str">
        <f t="shared" si="37"/>
        <v>serverless-plugin-typescript</v>
      </c>
      <c r="E804" s="3" t="str">
        <f t="shared" si="38"/>
        <v>v2.1.7</v>
      </c>
      <c r="F804" t="str">
        <f>IF(COUNTIFS('[1]25 November'!$E:$E,$D804)&gt;0, "NEW FINDING", IF(COUNTIFS('[1]20 September New Socket'!E:E,$D804)&gt;0,"PREVOUS REPORT","N/A"))</f>
        <v>NEW FINDING</v>
      </c>
    </row>
    <row r="805" spans="1:6" x14ac:dyDescent="0.2">
      <c r="A805" s="1">
        <v>45986</v>
      </c>
      <c r="B805" s="4" t="s">
        <v>805</v>
      </c>
      <c r="C805" s="3" t="str">
        <f t="shared" si="36"/>
        <v>@voiceflow</v>
      </c>
      <c r="D805" s="3" t="str">
        <f t="shared" si="37"/>
        <v>serverless-plugin-typescript</v>
      </c>
      <c r="E805" s="3" t="str">
        <f t="shared" si="38"/>
        <v>v2.1.8</v>
      </c>
      <c r="F805" t="str">
        <f>IF(COUNTIFS('[1]25 November'!$E:$E,$D805)&gt;0, "NEW FINDING", IF(COUNTIFS('[1]20 September New Socket'!E:E,$D805)&gt;0,"PREVOUS REPORT","N/A"))</f>
        <v>NEW FINDING</v>
      </c>
    </row>
    <row r="806" spans="1:6" x14ac:dyDescent="0.2">
      <c r="A806" s="1">
        <v>45986</v>
      </c>
      <c r="B806" s="4" t="s">
        <v>806</v>
      </c>
      <c r="C806" s="3" t="str">
        <f t="shared" si="36"/>
        <v>@voiceflow</v>
      </c>
      <c r="D806" s="3" t="str">
        <f t="shared" si="37"/>
        <v>slate-serializer</v>
      </c>
      <c r="E806" s="3" t="str">
        <f t="shared" si="38"/>
        <v>v1.7.3</v>
      </c>
      <c r="F806" t="str">
        <f>IF(COUNTIFS('[1]25 November'!$E:$E,$D806)&gt;0, "NEW FINDING", IF(COUNTIFS('[1]20 September New Socket'!E:E,$D806)&gt;0,"PREVOUS REPORT","N/A"))</f>
        <v>NEW FINDING</v>
      </c>
    </row>
    <row r="807" spans="1:6" x14ac:dyDescent="0.2">
      <c r="A807" s="1">
        <v>45986</v>
      </c>
      <c r="B807" s="4" t="s">
        <v>807</v>
      </c>
      <c r="C807" s="3" t="str">
        <f t="shared" si="36"/>
        <v>@voiceflow</v>
      </c>
      <c r="D807" s="3" t="str">
        <f t="shared" si="37"/>
        <v>slate-serializer</v>
      </c>
      <c r="E807" s="3" t="str">
        <f t="shared" si="38"/>
        <v>v1.7.4</v>
      </c>
      <c r="F807" t="str">
        <f>IF(COUNTIFS('[1]25 November'!$E:$E,$D807)&gt;0, "NEW FINDING", IF(COUNTIFS('[1]20 September New Socket'!E:E,$D807)&gt;0,"PREVOUS REPORT","N/A"))</f>
        <v>NEW FINDING</v>
      </c>
    </row>
    <row r="808" spans="1:6" x14ac:dyDescent="0.2">
      <c r="B808" s="4" t="s">
        <v>808</v>
      </c>
      <c r="C808" s="3" t="str">
        <f t="shared" si="36"/>
        <v>@voiceflow</v>
      </c>
      <c r="D808" s="3" t="str">
        <f t="shared" si="37"/>
        <v>stitches-react</v>
      </c>
      <c r="E808" s="3" t="str">
        <f t="shared" si="38"/>
        <v>v2.3.2</v>
      </c>
      <c r="F808" t="str">
        <f>IF(COUNTIFS('[1]25 November'!$E:$E,$D808)&gt;0, "NEW FINDING", IF(COUNTIFS('[1]20 September New Socket'!E:E,$D808)&gt;0,"PREVOUS REPORT","N/A"))</f>
        <v>N/A</v>
      </c>
    </row>
    <row r="809" spans="1:6" x14ac:dyDescent="0.2">
      <c r="B809" s="4" t="s">
        <v>809</v>
      </c>
      <c r="C809" s="3" t="str">
        <f t="shared" si="36"/>
        <v>@voiceflow</v>
      </c>
      <c r="D809" s="3" t="str">
        <f t="shared" si="37"/>
        <v>stitches-react</v>
      </c>
      <c r="E809" s="3" t="str">
        <f t="shared" si="38"/>
        <v>v2.3.3</v>
      </c>
      <c r="F809" t="str">
        <f>IF(COUNTIFS('[1]25 November'!$E:$E,$D809)&gt;0, "NEW FINDING", IF(COUNTIFS('[1]20 September New Socket'!E:E,$D809)&gt;0,"PREVOUS REPORT","N/A"))</f>
        <v>N/A</v>
      </c>
    </row>
    <row r="810" spans="1:6" x14ac:dyDescent="0.2">
      <c r="A810" s="1">
        <v>45986</v>
      </c>
      <c r="B810" s="4" t="s">
        <v>810</v>
      </c>
      <c r="C810" s="3" t="str">
        <f t="shared" si="36"/>
        <v>@voiceflow</v>
      </c>
      <c r="D810" s="3" t="str">
        <f t="shared" si="37"/>
        <v>storybook-config</v>
      </c>
      <c r="E810" s="3" t="str">
        <f t="shared" si="38"/>
        <v>v1.2.2</v>
      </c>
      <c r="F810" t="str">
        <f>IF(COUNTIFS('[1]25 November'!$E:$E,$D810)&gt;0, "NEW FINDING", IF(COUNTIFS('[1]20 September New Socket'!E:E,$D810)&gt;0,"PREVOUS REPORT","N/A"))</f>
        <v>NEW FINDING</v>
      </c>
    </row>
    <row r="811" spans="1:6" x14ac:dyDescent="0.2">
      <c r="A811" s="1">
        <v>45986</v>
      </c>
      <c r="B811" s="4" t="s">
        <v>811</v>
      </c>
      <c r="C811" s="3" t="str">
        <f t="shared" si="36"/>
        <v>@voiceflow</v>
      </c>
      <c r="D811" s="3" t="str">
        <f t="shared" si="37"/>
        <v>storybook-config</v>
      </c>
      <c r="E811" s="3" t="str">
        <f t="shared" si="38"/>
        <v>v1.2.3</v>
      </c>
      <c r="F811" t="str">
        <f>IF(COUNTIFS('[1]25 November'!$E:$E,$D811)&gt;0, "NEW FINDING", IF(COUNTIFS('[1]20 September New Socket'!E:E,$D811)&gt;0,"PREVOUS REPORT","N/A"))</f>
        <v>NEW FINDING</v>
      </c>
    </row>
    <row r="812" spans="1:6" x14ac:dyDescent="0.2">
      <c r="A812" s="1">
        <v>45986</v>
      </c>
      <c r="B812" s="4" t="s">
        <v>812</v>
      </c>
      <c r="C812" s="3" t="str">
        <f t="shared" si="36"/>
        <v>@voiceflow</v>
      </c>
      <c r="D812" s="3" t="str">
        <f t="shared" si="37"/>
        <v>stylelint-config</v>
      </c>
      <c r="E812" s="3" t="str">
        <f t="shared" si="38"/>
        <v>v1.1.1</v>
      </c>
      <c r="F812" t="str">
        <f>IF(COUNTIFS('[1]25 November'!$E:$E,$D812)&gt;0, "NEW FINDING", IF(COUNTIFS('[1]20 September New Socket'!E:E,$D812)&gt;0,"PREVOUS REPORT","N/A"))</f>
        <v>NEW FINDING</v>
      </c>
    </row>
    <row r="813" spans="1:6" x14ac:dyDescent="0.2">
      <c r="A813" s="1">
        <v>45986</v>
      </c>
      <c r="B813" s="4" t="s">
        <v>813</v>
      </c>
      <c r="C813" s="3" t="str">
        <f t="shared" si="36"/>
        <v>@voiceflow</v>
      </c>
      <c r="D813" s="3" t="str">
        <f t="shared" si="37"/>
        <v>stylelint-config</v>
      </c>
      <c r="E813" s="3" t="str">
        <f t="shared" si="38"/>
        <v>v1.1.2</v>
      </c>
      <c r="F813" t="str">
        <f>IF(COUNTIFS('[1]25 November'!$E:$E,$D813)&gt;0, "NEW FINDING", IF(COUNTIFS('[1]20 September New Socket'!E:E,$D813)&gt;0,"PREVOUS REPORT","N/A"))</f>
        <v>NEW FINDING</v>
      </c>
    </row>
    <row r="814" spans="1:6" x14ac:dyDescent="0.2">
      <c r="A814" s="1">
        <v>45986</v>
      </c>
      <c r="B814" s="4" t="s">
        <v>814</v>
      </c>
      <c r="C814" s="3" t="str">
        <f t="shared" si="36"/>
        <v>@voiceflow</v>
      </c>
      <c r="D814" s="3" t="str">
        <f t="shared" si="37"/>
        <v>test-common</v>
      </c>
      <c r="E814" s="3" t="str">
        <f t="shared" si="38"/>
        <v>v2.1.1</v>
      </c>
      <c r="F814" t="str">
        <f>IF(COUNTIFS('[1]25 November'!$E:$E,$D814)&gt;0, "NEW FINDING", IF(COUNTIFS('[1]20 September New Socket'!E:E,$D814)&gt;0,"PREVOUS REPORT","N/A"))</f>
        <v>NEW FINDING</v>
      </c>
    </row>
    <row r="815" spans="1:6" x14ac:dyDescent="0.2">
      <c r="A815" s="1">
        <v>45986</v>
      </c>
      <c r="B815" s="4" t="s">
        <v>815</v>
      </c>
      <c r="C815" s="3" t="str">
        <f t="shared" si="36"/>
        <v>@voiceflow</v>
      </c>
      <c r="D815" s="3" t="str">
        <f t="shared" si="37"/>
        <v>test-common</v>
      </c>
      <c r="E815" s="3" t="str">
        <f t="shared" si="38"/>
        <v>v2.1.2</v>
      </c>
      <c r="F815" t="str">
        <f>IF(COUNTIFS('[1]25 November'!$E:$E,$D815)&gt;0, "NEW FINDING", IF(COUNTIFS('[1]20 September New Socket'!E:E,$D815)&gt;0,"PREVOUS REPORT","N/A"))</f>
        <v>NEW FINDING</v>
      </c>
    </row>
    <row r="816" spans="1:6" x14ac:dyDescent="0.2">
      <c r="A816" s="1">
        <v>45986</v>
      </c>
      <c r="B816" s="4" t="s">
        <v>816</v>
      </c>
      <c r="C816" s="3" t="str">
        <f t="shared" si="36"/>
        <v>@voiceflow</v>
      </c>
      <c r="D816" s="3" t="str">
        <f t="shared" si="37"/>
        <v>tsconfig</v>
      </c>
      <c r="E816" s="3" t="str">
        <f t="shared" si="38"/>
        <v>v1.12.1</v>
      </c>
      <c r="F816" t="str">
        <f>IF(COUNTIFS('[1]25 November'!$E:$E,$D816)&gt;0, "NEW FINDING", IF(COUNTIFS('[1]20 September New Socket'!E:E,$D816)&gt;0,"PREVOUS REPORT","N/A"))</f>
        <v>NEW FINDING</v>
      </c>
    </row>
    <row r="817" spans="1:6" x14ac:dyDescent="0.2">
      <c r="A817" s="1">
        <v>45986</v>
      </c>
      <c r="B817" s="4" t="s">
        <v>817</v>
      </c>
      <c r="C817" s="3" t="str">
        <f t="shared" si="36"/>
        <v>@voiceflow</v>
      </c>
      <c r="D817" s="3" t="str">
        <f t="shared" si="37"/>
        <v>tsconfig</v>
      </c>
      <c r="E817" s="3" t="str">
        <f t="shared" si="38"/>
        <v>v1.12.2</v>
      </c>
      <c r="F817" t="str">
        <f>IF(COUNTIFS('[1]25 November'!$E:$E,$D817)&gt;0, "NEW FINDING", IF(COUNTIFS('[1]20 September New Socket'!E:E,$D817)&gt;0,"PREVOUS REPORT","N/A"))</f>
        <v>NEW FINDING</v>
      </c>
    </row>
    <row r="818" spans="1:6" x14ac:dyDescent="0.2">
      <c r="B818" s="4" t="s">
        <v>818</v>
      </c>
      <c r="C818" s="3" t="str">
        <f t="shared" si="36"/>
        <v>@voiceflow</v>
      </c>
      <c r="D818" s="3" t="str">
        <f t="shared" si="37"/>
        <v>tsconfig-paths</v>
      </c>
      <c r="E818" s="3" t="str">
        <f t="shared" si="38"/>
        <v>v1.1.4</v>
      </c>
      <c r="F818" t="str">
        <f>IF(COUNTIFS('[1]25 November'!$E:$E,$D818)&gt;0, "NEW FINDING", IF(COUNTIFS('[1]20 September New Socket'!E:E,$D818)&gt;0,"PREVOUS REPORT","N/A"))</f>
        <v>N/A</v>
      </c>
    </row>
    <row r="819" spans="1:6" x14ac:dyDescent="0.2">
      <c r="B819" s="4" t="s">
        <v>819</v>
      </c>
      <c r="C819" s="3" t="str">
        <f t="shared" si="36"/>
        <v>@voiceflow</v>
      </c>
      <c r="D819" s="3" t="str">
        <f t="shared" si="37"/>
        <v>tsconfig-paths</v>
      </c>
      <c r="E819" s="3" t="str">
        <f t="shared" si="38"/>
        <v>v1.1.5</v>
      </c>
      <c r="F819" t="str">
        <f>IF(COUNTIFS('[1]25 November'!$E:$E,$D819)&gt;0, "NEW FINDING", IF(COUNTIFS('[1]20 September New Socket'!E:E,$D819)&gt;0,"PREVOUS REPORT","N/A"))</f>
        <v>N/A</v>
      </c>
    </row>
    <row r="820" spans="1:6" x14ac:dyDescent="0.2">
      <c r="B820" s="4" t="s">
        <v>820</v>
      </c>
      <c r="C820" s="3" t="str">
        <f t="shared" si="36"/>
        <v>@voiceflow</v>
      </c>
      <c r="D820" s="3" t="str">
        <f t="shared" si="37"/>
        <v>utils-designer</v>
      </c>
      <c r="E820" s="3" t="str">
        <f t="shared" si="38"/>
        <v>v1.74.19</v>
      </c>
      <c r="F820" t="str">
        <f>IF(COUNTIFS('[1]25 November'!$E:$E,$D820)&gt;0, "NEW FINDING", IF(COUNTIFS('[1]20 September New Socket'!E:E,$D820)&gt;0,"PREVOUS REPORT","N/A"))</f>
        <v>N/A</v>
      </c>
    </row>
    <row r="821" spans="1:6" x14ac:dyDescent="0.2">
      <c r="B821" s="4" t="s">
        <v>821</v>
      </c>
      <c r="C821" s="3" t="str">
        <f t="shared" si="36"/>
        <v>@voiceflow</v>
      </c>
      <c r="D821" s="3" t="str">
        <f t="shared" si="37"/>
        <v>utils-designer</v>
      </c>
      <c r="E821" s="3" t="str">
        <f t="shared" si="38"/>
        <v>v1.74.20</v>
      </c>
      <c r="F821" t="str">
        <f>IF(COUNTIFS('[1]25 November'!$E:$E,$D821)&gt;0, "NEW FINDING", IF(COUNTIFS('[1]20 September New Socket'!E:E,$D821)&gt;0,"PREVOUS REPORT","N/A"))</f>
        <v>N/A</v>
      </c>
    </row>
    <row r="822" spans="1:6" x14ac:dyDescent="0.2">
      <c r="A822" s="1">
        <v>45986</v>
      </c>
      <c r="B822" s="4" t="s">
        <v>822</v>
      </c>
      <c r="C822" s="3" t="str">
        <f t="shared" si="36"/>
        <v>@voiceflow</v>
      </c>
      <c r="D822" s="3" t="str">
        <f t="shared" si="37"/>
        <v>verror</v>
      </c>
      <c r="E822" s="3" t="str">
        <f t="shared" si="38"/>
        <v>v1.1.4</v>
      </c>
      <c r="F822" t="str">
        <f>IF(COUNTIFS('[1]25 November'!$E:$E,$D822)&gt;0, "NEW FINDING", IF(COUNTIFS('[1]20 September New Socket'!E:E,$D822)&gt;0,"PREVOUS REPORT","N/A"))</f>
        <v>NEW FINDING</v>
      </c>
    </row>
    <row r="823" spans="1:6" x14ac:dyDescent="0.2">
      <c r="A823" s="1">
        <v>45986</v>
      </c>
      <c r="B823" s="4" t="s">
        <v>823</v>
      </c>
      <c r="C823" s="3" t="str">
        <f t="shared" si="36"/>
        <v>@voiceflow</v>
      </c>
      <c r="D823" s="3" t="str">
        <f t="shared" si="37"/>
        <v>verror</v>
      </c>
      <c r="E823" s="3" t="str">
        <f t="shared" si="38"/>
        <v>v1.1.5</v>
      </c>
      <c r="F823" t="str">
        <f>IF(COUNTIFS('[1]25 November'!$E:$E,$D823)&gt;0, "NEW FINDING", IF(COUNTIFS('[1]20 September New Socket'!E:E,$D823)&gt;0,"PREVOUS REPORT","N/A"))</f>
        <v>NEW FINDING</v>
      </c>
    </row>
    <row r="824" spans="1:6" x14ac:dyDescent="0.2">
      <c r="A824" s="1">
        <v>45986</v>
      </c>
      <c r="B824" s="4" t="s">
        <v>824</v>
      </c>
      <c r="C824" s="3" t="str">
        <f t="shared" si="36"/>
        <v>@voiceflow</v>
      </c>
      <c r="D824" s="3" t="str">
        <f t="shared" si="37"/>
        <v>vite-config</v>
      </c>
      <c r="E824" s="3" t="str">
        <f t="shared" si="38"/>
        <v>v2.6.2</v>
      </c>
      <c r="F824" t="str">
        <f>IF(COUNTIFS('[1]25 November'!$E:$E,$D824)&gt;0, "NEW FINDING", IF(COUNTIFS('[1]20 September New Socket'!E:E,$D824)&gt;0,"PREVOUS REPORT","N/A"))</f>
        <v>NEW FINDING</v>
      </c>
    </row>
    <row r="825" spans="1:6" x14ac:dyDescent="0.2">
      <c r="A825" s="1">
        <v>45986</v>
      </c>
      <c r="B825" s="4" t="s">
        <v>825</v>
      </c>
      <c r="C825" s="3" t="str">
        <f t="shared" si="36"/>
        <v>@voiceflow</v>
      </c>
      <c r="D825" s="3" t="str">
        <f t="shared" si="37"/>
        <v>vite-config</v>
      </c>
      <c r="E825" s="3" t="str">
        <f t="shared" si="38"/>
        <v>v2.6.3</v>
      </c>
      <c r="F825" t="str">
        <f>IF(COUNTIFS('[1]25 November'!$E:$E,$D825)&gt;0, "NEW FINDING", IF(COUNTIFS('[1]20 September New Socket'!E:E,$D825)&gt;0,"PREVOUS REPORT","N/A"))</f>
        <v>NEW FINDING</v>
      </c>
    </row>
    <row r="826" spans="1:6" x14ac:dyDescent="0.2">
      <c r="A826" s="1">
        <v>45986</v>
      </c>
      <c r="B826" s="4" t="s">
        <v>826</v>
      </c>
      <c r="C826" s="3" t="str">
        <f t="shared" si="36"/>
        <v>@voiceflow</v>
      </c>
      <c r="D826" s="3" t="str">
        <f t="shared" si="37"/>
        <v>vitest-config</v>
      </c>
      <c r="E826" s="3" t="str">
        <f t="shared" si="38"/>
        <v>v1.10.2</v>
      </c>
      <c r="F826" t="str">
        <f>IF(COUNTIFS('[1]25 November'!$E:$E,$D826)&gt;0, "NEW FINDING", IF(COUNTIFS('[1]20 September New Socket'!E:E,$D826)&gt;0,"PREVOUS REPORT","N/A"))</f>
        <v>NEW FINDING</v>
      </c>
    </row>
    <row r="827" spans="1:6" x14ac:dyDescent="0.2">
      <c r="A827" s="1">
        <v>45986</v>
      </c>
      <c r="B827" s="4" t="s">
        <v>827</v>
      </c>
      <c r="C827" s="3" t="str">
        <f t="shared" si="36"/>
        <v>@voiceflow</v>
      </c>
      <c r="D827" s="3" t="str">
        <f t="shared" si="37"/>
        <v>vitest-config</v>
      </c>
      <c r="E827" s="3" t="str">
        <f t="shared" si="38"/>
        <v>v1.10.3</v>
      </c>
      <c r="F827" t="str">
        <f>IF(COUNTIFS('[1]25 November'!$E:$E,$D827)&gt;0, "NEW FINDING", IF(COUNTIFS('[1]20 September New Socket'!E:E,$D827)&gt;0,"PREVOUS REPORT","N/A"))</f>
        <v>NEW FINDING</v>
      </c>
    </row>
    <row r="828" spans="1:6" x14ac:dyDescent="0.2">
      <c r="A828" s="1">
        <v>45986</v>
      </c>
      <c r="B828" s="4" t="s">
        <v>828</v>
      </c>
      <c r="C828" s="3" t="str">
        <f t="shared" si="36"/>
        <v>@voiceflow</v>
      </c>
      <c r="D828" s="3" t="str">
        <f t="shared" si="37"/>
        <v>voice-types</v>
      </c>
      <c r="E828" s="3" t="str">
        <f t="shared" si="38"/>
        <v>v2.10.58</v>
      </c>
      <c r="F828" t="str">
        <f>IF(COUNTIFS('[1]25 November'!$E:$E,$D828)&gt;0, "NEW FINDING", IF(COUNTIFS('[1]20 September New Socket'!E:E,$D828)&gt;0,"PREVOUS REPORT","N/A"))</f>
        <v>NEW FINDING</v>
      </c>
    </row>
    <row r="829" spans="1:6" x14ac:dyDescent="0.2">
      <c r="A829" s="1">
        <v>45986</v>
      </c>
      <c r="B829" s="4" t="s">
        <v>829</v>
      </c>
      <c r="C829" s="3" t="str">
        <f t="shared" si="36"/>
        <v>@voiceflow</v>
      </c>
      <c r="D829" s="3" t="str">
        <f t="shared" si="37"/>
        <v>voice-types</v>
      </c>
      <c r="E829" s="3" t="str">
        <f t="shared" si="38"/>
        <v>v2.10.59</v>
      </c>
      <c r="F829" t="str">
        <f>IF(COUNTIFS('[1]25 November'!$E:$E,$D829)&gt;0, "NEW FINDING", IF(COUNTIFS('[1]20 September New Socket'!E:E,$D829)&gt;0,"PREVOUS REPORT","N/A"))</f>
        <v>NEW FINDING</v>
      </c>
    </row>
    <row r="830" spans="1:6" x14ac:dyDescent="0.2">
      <c r="A830" s="1">
        <v>45986</v>
      </c>
      <c r="B830" s="4" t="s">
        <v>830</v>
      </c>
      <c r="C830" s="3" t="str">
        <f t="shared" si="36"/>
        <v>@voiceflow</v>
      </c>
      <c r="D830" s="3" t="str">
        <f t="shared" si="37"/>
        <v>voiceflow-types</v>
      </c>
      <c r="E830" s="3" t="str">
        <f t="shared" si="38"/>
        <v>v3.32.45</v>
      </c>
      <c r="F830" t="str">
        <f>IF(COUNTIFS('[1]25 November'!$E:$E,$D830)&gt;0, "NEW FINDING", IF(COUNTIFS('[1]20 September New Socket'!E:E,$D830)&gt;0,"PREVOUS REPORT","N/A"))</f>
        <v>NEW FINDING</v>
      </c>
    </row>
    <row r="831" spans="1:6" x14ac:dyDescent="0.2">
      <c r="A831" s="1">
        <v>45986</v>
      </c>
      <c r="B831" s="4" t="s">
        <v>831</v>
      </c>
      <c r="C831" s="3" t="str">
        <f t="shared" si="36"/>
        <v>@voiceflow</v>
      </c>
      <c r="D831" s="3" t="str">
        <f t="shared" si="37"/>
        <v>voiceflow-types</v>
      </c>
      <c r="E831" s="3" t="str">
        <f t="shared" si="38"/>
        <v>v3.32.46</v>
      </c>
      <c r="F831" t="str">
        <f>IF(COUNTIFS('[1]25 November'!$E:$E,$D831)&gt;0, "NEW FINDING", IF(COUNTIFS('[1]20 September New Socket'!E:E,$D831)&gt;0,"PREVOUS REPORT","N/A"))</f>
        <v>NEW FINDING</v>
      </c>
    </row>
    <row r="832" spans="1:6" x14ac:dyDescent="0.2">
      <c r="A832" s="1">
        <v>45986</v>
      </c>
      <c r="B832" s="4" t="s">
        <v>832</v>
      </c>
      <c r="C832" s="3" t="str">
        <f t="shared" si="36"/>
        <v>@voiceflow</v>
      </c>
      <c r="D832" s="3" t="str">
        <f t="shared" si="37"/>
        <v>widget</v>
      </c>
      <c r="E832" s="3" t="str">
        <f t="shared" si="38"/>
        <v>v1.7.18</v>
      </c>
      <c r="F832" t="str">
        <f>IF(COUNTIFS('[1]25 November'!$E:$E,$D832)&gt;0, "NEW FINDING", IF(COUNTIFS('[1]20 September New Socket'!E:E,$D832)&gt;0,"PREVOUS REPORT","N/A"))</f>
        <v>NEW FINDING</v>
      </c>
    </row>
    <row r="833" spans="1:6" x14ac:dyDescent="0.2">
      <c r="A833" s="1">
        <v>45986</v>
      </c>
      <c r="B833" s="4" t="s">
        <v>833</v>
      </c>
      <c r="C833" s="3" t="str">
        <f t="shared" ref="C833:C863" si="39">IF(LEFT(B833,1)="@",LEFT(B833,FIND("/",B833)-1),"")</f>
        <v>@voiceflow</v>
      </c>
      <c r="D833" s="3" t="str">
        <f t="shared" ref="D833:D863" si="40">IF(LEFT(B833,1)="@",
    MID(
        B833,
        FIND("/",B833)+1,
        IFERROR(
            FIND("@",B833,FIND("/",B833)+1) - FIND("/",B833) - 1,
            LEN(B833) - FIND("/",B833)
        )
    ),
    IFERROR(LEFT(B833,FIND("@",B833)-1), B833)
)</f>
        <v>widget</v>
      </c>
      <c r="E833" s="3" t="str">
        <f t="shared" ref="E833:E863" si="41">RIGHT(B833,LEN(B833)-FIND("@",B833,LEN(B833)-LEN(SUBSTITUTE(B833,"@",""))+1))</f>
        <v>v1.7.19</v>
      </c>
      <c r="F833" t="str">
        <f>IF(COUNTIFS('[1]25 November'!$E:$E,$D833)&gt;0, "NEW FINDING", IF(COUNTIFS('[1]20 September New Socket'!E:E,$D833)&gt;0,"PREVOUS REPORT","N/A"))</f>
        <v>NEW FINDING</v>
      </c>
    </row>
    <row r="834" spans="1:6" x14ac:dyDescent="0.2">
      <c r="A834" s="1">
        <v>45986</v>
      </c>
      <c r="B834" s="4" t="s">
        <v>834</v>
      </c>
      <c r="C834" s="3" t="str">
        <f t="shared" si="39"/>
        <v>@zapier</v>
      </c>
      <c r="D834" s="3" t="str">
        <f t="shared" si="40"/>
        <v>ai-actions</v>
      </c>
      <c r="E834" s="3" t="str">
        <f t="shared" si="41"/>
        <v>v0.1.18</v>
      </c>
      <c r="F834" t="str">
        <f>IF(COUNTIFS('[1]25 November'!$E:$E,$D834)&gt;0, "NEW FINDING", IF(COUNTIFS('[1]20 September New Socket'!E:E,$D834)&gt;0,"PREVOUS REPORT","N/A"))</f>
        <v>NEW FINDING</v>
      </c>
    </row>
    <row r="835" spans="1:6" x14ac:dyDescent="0.2">
      <c r="A835" s="1">
        <v>45986</v>
      </c>
      <c r="B835" s="4" t="s">
        <v>835</v>
      </c>
      <c r="C835" s="3" t="str">
        <f t="shared" si="39"/>
        <v>@zapier</v>
      </c>
      <c r="D835" s="3" t="str">
        <f t="shared" si="40"/>
        <v>ai-actions</v>
      </c>
      <c r="E835" s="3" t="str">
        <f t="shared" si="41"/>
        <v>v0.1.19</v>
      </c>
      <c r="F835" t="str">
        <f>IF(COUNTIFS('[1]25 November'!$E:$E,$D835)&gt;0, "NEW FINDING", IF(COUNTIFS('[1]20 September New Socket'!E:E,$D835)&gt;0,"PREVOUS REPORT","N/A"))</f>
        <v>NEW FINDING</v>
      </c>
    </row>
    <row r="836" spans="1:6" x14ac:dyDescent="0.2">
      <c r="A836" s="1">
        <v>45986</v>
      </c>
      <c r="B836" s="4" t="s">
        <v>836</v>
      </c>
      <c r="C836" s="3" t="str">
        <f t="shared" si="39"/>
        <v>@zapier</v>
      </c>
      <c r="D836" s="3" t="str">
        <f t="shared" si="40"/>
        <v>ai-actions</v>
      </c>
      <c r="E836" s="3" t="str">
        <f t="shared" si="41"/>
        <v>v0.1.20</v>
      </c>
      <c r="F836" t="str">
        <f>IF(COUNTIFS('[1]25 November'!$E:$E,$D836)&gt;0, "NEW FINDING", IF(COUNTIFS('[1]20 September New Socket'!E:E,$D836)&gt;0,"PREVOUS REPORT","N/A"))</f>
        <v>NEW FINDING</v>
      </c>
    </row>
    <row r="837" spans="1:6" x14ac:dyDescent="0.2">
      <c r="A837" s="1">
        <v>45986</v>
      </c>
      <c r="B837" s="4" t="s">
        <v>837</v>
      </c>
      <c r="C837" s="3" t="str">
        <f t="shared" si="39"/>
        <v>@zapier</v>
      </c>
      <c r="D837" s="3" t="str">
        <f t="shared" si="40"/>
        <v>ai-actions-react</v>
      </c>
      <c r="E837" s="3" t="str">
        <f t="shared" si="41"/>
        <v>v0.1.12</v>
      </c>
      <c r="F837" t="str">
        <f>IF(COUNTIFS('[1]25 November'!$E:$E,$D837)&gt;0, "NEW FINDING", IF(COUNTIFS('[1]20 September New Socket'!E:E,$D837)&gt;0,"PREVOUS REPORT","N/A"))</f>
        <v>NEW FINDING</v>
      </c>
    </row>
    <row r="838" spans="1:6" x14ac:dyDescent="0.2">
      <c r="A838" s="1">
        <v>45986</v>
      </c>
      <c r="B838" s="4" t="s">
        <v>838</v>
      </c>
      <c r="C838" s="3" t="str">
        <f t="shared" si="39"/>
        <v>@zapier</v>
      </c>
      <c r="D838" s="3" t="str">
        <f t="shared" si="40"/>
        <v>ai-actions-react</v>
      </c>
      <c r="E838" s="3" t="str">
        <f t="shared" si="41"/>
        <v>v0.1.13</v>
      </c>
      <c r="F838" t="str">
        <f>IF(COUNTIFS('[1]25 November'!$E:$E,$D838)&gt;0, "NEW FINDING", IF(COUNTIFS('[1]20 September New Socket'!E:E,$D838)&gt;0,"PREVOUS REPORT","N/A"))</f>
        <v>NEW FINDING</v>
      </c>
    </row>
    <row r="839" spans="1:6" x14ac:dyDescent="0.2">
      <c r="A839" s="1">
        <v>45986</v>
      </c>
      <c r="B839" s="4" t="s">
        <v>839</v>
      </c>
      <c r="C839" s="3" t="str">
        <f t="shared" si="39"/>
        <v>@zapier</v>
      </c>
      <c r="D839" s="3" t="str">
        <f t="shared" si="40"/>
        <v>ai-actions-react</v>
      </c>
      <c r="E839" s="3" t="str">
        <f t="shared" si="41"/>
        <v>v0.1.14</v>
      </c>
      <c r="F839" t="str">
        <f>IF(COUNTIFS('[1]25 November'!$E:$E,$D839)&gt;0, "NEW FINDING", IF(COUNTIFS('[1]20 September New Socket'!E:E,$D839)&gt;0,"PREVOUS REPORT","N/A"))</f>
        <v>NEW FINDING</v>
      </c>
    </row>
    <row r="840" spans="1:6" x14ac:dyDescent="0.2">
      <c r="A840" s="1">
        <v>45986</v>
      </c>
      <c r="B840" s="4" t="s">
        <v>840</v>
      </c>
      <c r="C840" s="3" t="str">
        <f t="shared" si="39"/>
        <v>@zapier</v>
      </c>
      <c r="D840" s="3" t="str">
        <f t="shared" si="40"/>
        <v>babel-preset-zapier</v>
      </c>
      <c r="E840" s="3" t="str">
        <f t="shared" si="41"/>
        <v>v6.4.1</v>
      </c>
      <c r="F840" t="str">
        <f>IF(COUNTIFS('[1]25 November'!$E:$E,$D840)&gt;0, "NEW FINDING", IF(COUNTIFS('[1]20 September New Socket'!E:E,$D840)&gt;0,"PREVOUS REPORT","N/A"))</f>
        <v>NEW FINDING</v>
      </c>
    </row>
    <row r="841" spans="1:6" x14ac:dyDescent="0.2">
      <c r="A841" s="1">
        <v>45986</v>
      </c>
      <c r="B841" s="4" t="s">
        <v>841</v>
      </c>
      <c r="C841" s="3" t="str">
        <f t="shared" si="39"/>
        <v>@zapier</v>
      </c>
      <c r="D841" s="3" t="str">
        <f t="shared" si="40"/>
        <v>babel-preset-zapier</v>
      </c>
      <c r="E841" s="3" t="str">
        <f t="shared" si="41"/>
        <v>v6.4.2</v>
      </c>
      <c r="F841" t="str">
        <f>IF(COUNTIFS('[1]25 November'!$E:$E,$D841)&gt;0, "NEW FINDING", IF(COUNTIFS('[1]20 September New Socket'!E:E,$D841)&gt;0,"PREVOUS REPORT","N/A"))</f>
        <v>NEW FINDING</v>
      </c>
    </row>
    <row r="842" spans="1:6" x14ac:dyDescent="0.2">
      <c r="A842" s="1">
        <v>45986</v>
      </c>
      <c r="B842" s="4" t="s">
        <v>842</v>
      </c>
      <c r="C842" s="3" t="str">
        <f t="shared" si="39"/>
        <v>@zapier</v>
      </c>
      <c r="D842" s="3" t="str">
        <f t="shared" si="40"/>
        <v>babel-preset-zapier</v>
      </c>
      <c r="E842" s="3" t="str">
        <f t="shared" si="41"/>
        <v>v6.4.3</v>
      </c>
      <c r="F842" t="str">
        <f>IF(COUNTIFS('[1]25 November'!$E:$E,$D842)&gt;0, "NEW FINDING", IF(COUNTIFS('[1]20 September New Socket'!E:E,$D842)&gt;0,"PREVOUS REPORT","N/A"))</f>
        <v>NEW FINDING</v>
      </c>
    </row>
    <row r="843" spans="1:6" x14ac:dyDescent="0.2">
      <c r="A843" s="1">
        <v>45986</v>
      </c>
      <c r="B843" s="4" t="s">
        <v>843</v>
      </c>
      <c r="C843" s="3" t="str">
        <f t="shared" si="39"/>
        <v>@zapier</v>
      </c>
      <c r="D843" s="3" t="str">
        <f t="shared" si="40"/>
        <v>browserslist-config-zapier</v>
      </c>
      <c r="E843" s="3" t="str">
        <f t="shared" si="41"/>
        <v>v1.0.3</v>
      </c>
      <c r="F843" t="str">
        <f>IF(COUNTIFS('[1]25 November'!$E:$E,$D843)&gt;0, "NEW FINDING", IF(COUNTIFS('[1]20 September New Socket'!E:E,$D843)&gt;0,"PREVOUS REPORT","N/A"))</f>
        <v>NEW FINDING</v>
      </c>
    </row>
    <row r="844" spans="1:6" x14ac:dyDescent="0.2">
      <c r="A844" s="1">
        <v>45986</v>
      </c>
      <c r="B844" s="4" t="s">
        <v>844</v>
      </c>
      <c r="C844" s="3" t="str">
        <f t="shared" si="39"/>
        <v>@zapier</v>
      </c>
      <c r="D844" s="3" t="str">
        <f t="shared" si="40"/>
        <v>browserslist-config-zapier</v>
      </c>
      <c r="E844" s="3" t="str">
        <f t="shared" si="41"/>
        <v>v1.0.4</v>
      </c>
      <c r="F844" t="str">
        <f>IF(COUNTIFS('[1]25 November'!$E:$E,$D844)&gt;0, "NEW FINDING", IF(COUNTIFS('[1]20 September New Socket'!E:E,$D844)&gt;0,"PREVOUS REPORT","N/A"))</f>
        <v>NEW FINDING</v>
      </c>
    </row>
    <row r="845" spans="1:6" x14ac:dyDescent="0.2">
      <c r="A845" s="1">
        <v>45986</v>
      </c>
      <c r="B845" s="4" t="s">
        <v>845</v>
      </c>
      <c r="C845" s="3" t="str">
        <f t="shared" si="39"/>
        <v>@zapier</v>
      </c>
      <c r="D845" s="3" t="str">
        <f t="shared" si="40"/>
        <v>browserslist-config-zapier</v>
      </c>
      <c r="E845" s="3" t="str">
        <f t="shared" si="41"/>
        <v>v1.0.5</v>
      </c>
      <c r="F845" t="str">
        <f>IF(COUNTIFS('[1]25 November'!$E:$E,$D845)&gt;0, "NEW FINDING", IF(COUNTIFS('[1]20 September New Socket'!E:E,$D845)&gt;0,"PREVOUS REPORT","N/A"))</f>
        <v>NEW FINDING</v>
      </c>
    </row>
    <row r="846" spans="1:6" x14ac:dyDescent="0.2">
      <c r="A846" s="1">
        <v>45986</v>
      </c>
      <c r="B846" s="4" t="s">
        <v>846</v>
      </c>
      <c r="C846" s="3" t="str">
        <f t="shared" si="39"/>
        <v>@zapier</v>
      </c>
      <c r="D846" s="3" t="str">
        <f t="shared" si="40"/>
        <v>eslint-plugin-zapier</v>
      </c>
      <c r="E846" s="3" t="str">
        <f t="shared" si="41"/>
        <v>v11.0.3</v>
      </c>
      <c r="F846" t="str">
        <f>IF(COUNTIFS('[1]25 November'!$E:$E,$D846)&gt;0, "NEW FINDING", IF(COUNTIFS('[1]20 September New Socket'!E:E,$D846)&gt;0,"PREVOUS REPORT","N/A"))</f>
        <v>NEW FINDING</v>
      </c>
    </row>
    <row r="847" spans="1:6" x14ac:dyDescent="0.2">
      <c r="A847" s="1">
        <v>45986</v>
      </c>
      <c r="B847" s="4" t="s">
        <v>847</v>
      </c>
      <c r="C847" s="3" t="str">
        <f t="shared" si="39"/>
        <v>@zapier</v>
      </c>
      <c r="D847" s="3" t="str">
        <f t="shared" si="40"/>
        <v>eslint-plugin-zapier</v>
      </c>
      <c r="E847" s="3" t="str">
        <f t="shared" si="41"/>
        <v>v11.0.4</v>
      </c>
      <c r="F847" t="str">
        <f>IF(COUNTIFS('[1]25 November'!$E:$E,$D847)&gt;0, "NEW FINDING", IF(COUNTIFS('[1]20 September New Socket'!E:E,$D847)&gt;0,"PREVOUS REPORT","N/A"))</f>
        <v>NEW FINDING</v>
      </c>
    </row>
    <row r="848" spans="1:6" x14ac:dyDescent="0.2">
      <c r="A848" s="1">
        <v>45986</v>
      </c>
      <c r="B848" s="4" t="s">
        <v>848</v>
      </c>
      <c r="C848" s="3" t="str">
        <f t="shared" si="39"/>
        <v>@zapier</v>
      </c>
      <c r="D848" s="3" t="str">
        <f t="shared" si="40"/>
        <v>eslint-plugin-zapier</v>
      </c>
      <c r="E848" s="3" t="str">
        <f t="shared" si="41"/>
        <v>v11.0.5</v>
      </c>
      <c r="F848" t="str">
        <f>IF(COUNTIFS('[1]25 November'!$E:$E,$D848)&gt;0, "NEW FINDING", IF(COUNTIFS('[1]20 September New Socket'!E:E,$D848)&gt;0,"PREVOUS REPORT","N/A"))</f>
        <v>NEW FINDING</v>
      </c>
    </row>
    <row r="849" spans="1:6" x14ac:dyDescent="0.2">
      <c r="A849" s="1">
        <v>45986</v>
      </c>
      <c r="B849" s="4" t="s">
        <v>849</v>
      </c>
      <c r="C849" s="3" t="str">
        <f t="shared" si="39"/>
        <v>@zapier</v>
      </c>
      <c r="D849" s="3" t="str">
        <f t="shared" si="40"/>
        <v>mcp-integration</v>
      </c>
      <c r="E849" s="3" t="str">
        <f t="shared" si="41"/>
        <v>v3.0.1</v>
      </c>
      <c r="F849" t="str">
        <f>IF(COUNTIFS('[1]25 November'!$E:$E,$D849)&gt;0, "NEW FINDING", IF(COUNTIFS('[1]20 September New Socket'!E:E,$D849)&gt;0,"PREVOUS REPORT","N/A"))</f>
        <v>NEW FINDING</v>
      </c>
    </row>
    <row r="850" spans="1:6" x14ac:dyDescent="0.2">
      <c r="A850" s="1">
        <v>45986</v>
      </c>
      <c r="B850" s="4" t="s">
        <v>850</v>
      </c>
      <c r="C850" s="3" t="str">
        <f t="shared" si="39"/>
        <v>@zapier</v>
      </c>
      <c r="D850" s="3" t="str">
        <f t="shared" si="40"/>
        <v>mcp-integration</v>
      </c>
      <c r="E850" s="3" t="str">
        <f t="shared" si="41"/>
        <v>v3.0.2</v>
      </c>
      <c r="F850" t="str">
        <f>IF(COUNTIFS('[1]25 November'!$E:$E,$D850)&gt;0, "NEW FINDING", IF(COUNTIFS('[1]20 September New Socket'!E:E,$D850)&gt;0,"PREVOUS REPORT","N/A"))</f>
        <v>NEW FINDING</v>
      </c>
    </row>
    <row r="851" spans="1:6" x14ac:dyDescent="0.2">
      <c r="A851" s="1">
        <v>45986</v>
      </c>
      <c r="B851" s="4" t="s">
        <v>851</v>
      </c>
      <c r="C851" s="3" t="str">
        <f t="shared" si="39"/>
        <v>@zapier</v>
      </c>
      <c r="D851" s="3" t="str">
        <f t="shared" si="40"/>
        <v>mcp-integration</v>
      </c>
      <c r="E851" s="3" t="str">
        <f t="shared" si="41"/>
        <v>v3.0.3</v>
      </c>
      <c r="F851" t="str">
        <f>IF(COUNTIFS('[1]25 November'!$E:$E,$D851)&gt;0, "NEW FINDING", IF(COUNTIFS('[1]20 September New Socket'!E:E,$D851)&gt;0,"PREVOUS REPORT","N/A"))</f>
        <v>NEW FINDING</v>
      </c>
    </row>
    <row r="852" spans="1:6" x14ac:dyDescent="0.2">
      <c r="A852" s="1">
        <v>45986</v>
      </c>
      <c r="B852" s="4" t="s">
        <v>852</v>
      </c>
      <c r="C852" s="3" t="str">
        <f t="shared" si="39"/>
        <v>@zapier</v>
      </c>
      <c r="D852" s="3" t="str">
        <f t="shared" si="40"/>
        <v>secret-scrubber</v>
      </c>
      <c r="E852" s="3" t="str">
        <f t="shared" si="41"/>
        <v>v1.1.3</v>
      </c>
      <c r="F852" t="str">
        <f>IF(COUNTIFS('[1]25 November'!$E:$E,$D852)&gt;0, "NEW FINDING", IF(COUNTIFS('[1]20 September New Socket'!E:E,$D852)&gt;0,"PREVOUS REPORT","N/A"))</f>
        <v>NEW FINDING</v>
      </c>
    </row>
    <row r="853" spans="1:6" x14ac:dyDescent="0.2">
      <c r="A853" s="1">
        <v>45986</v>
      </c>
      <c r="B853" s="4" t="s">
        <v>853</v>
      </c>
      <c r="C853" s="3" t="str">
        <f t="shared" si="39"/>
        <v>@zapier</v>
      </c>
      <c r="D853" s="3" t="str">
        <f t="shared" si="40"/>
        <v>secret-scrubber</v>
      </c>
      <c r="E853" s="3" t="str">
        <f t="shared" si="41"/>
        <v>v1.1.4</v>
      </c>
      <c r="F853" t="str">
        <f>IF(COUNTIFS('[1]25 November'!$E:$E,$D853)&gt;0, "NEW FINDING", IF(COUNTIFS('[1]20 September New Socket'!E:E,$D853)&gt;0,"PREVOUS REPORT","N/A"))</f>
        <v>NEW FINDING</v>
      </c>
    </row>
    <row r="854" spans="1:6" x14ac:dyDescent="0.2">
      <c r="A854" s="1">
        <v>45986</v>
      </c>
      <c r="B854" s="4" t="s">
        <v>854</v>
      </c>
      <c r="C854" s="3" t="str">
        <f t="shared" si="39"/>
        <v>@zapier</v>
      </c>
      <c r="D854" s="3" t="str">
        <f t="shared" si="40"/>
        <v>secret-scrubber</v>
      </c>
      <c r="E854" s="3" t="str">
        <f t="shared" si="41"/>
        <v>v1.1.5</v>
      </c>
      <c r="F854" t="str">
        <f>IF(COUNTIFS('[1]25 November'!$E:$E,$D854)&gt;0, "NEW FINDING", IF(COUNTIFS('[1]20 September New Socket'!E:E,$D854)&gt;0,"PREVOUS REPORT","N/A"))</f>
        <v>NEW FINDING</v>
      </c>
    </row>
    <row r="855" spans="1:6" x14ac:dyDescent="0.2">
      <c r="A855" s="1">
        <v>45986</v>
      </c>
      <c r="B855" s="4" t="s">
        <v>855</v>
      </c>
      <c r="C855" s="3" t="str">
        <f t="shared" si="39"/>
        <v>@zapier</v>
      </c>
      <c r="D855" s="3" t="str">
        <f t="shared" si="40"/>
        <v>spectral-api-ruleset</v>
      </c>
      <c r="E855" s="3" t="str">
        <f t="shared" si="41"/>
        <v>v1.9.1</v>
      </c>
      <c r="F855" t="str">
        <f>IF(COUNTIFS('[1]25 November'!$E:$E,$D855)&gt;0, "NEW FINDING", IF(COUNTIFS('[1]20 September New Socket'!E:E,$D855)&gt;0,"PREVOUS REPORT","N/A"))</f>
        <v>NEW FINDING</v>
      </c>
    </row>
    <row r="856" spans="1:6" x14ac:dyDescent="0.2">
      <c r="A856" s="1">
        <v>45986</v>
      </c>
      <c r="B856" s="4" t="s">
        <v>856</v>
      </c>
      <c r="C856" s="3" t="str">
        <f t="shared" si="39"/>
        <v>@zapier</v>
      </c>
      <c r="D856" s="3" t="str">
        <f t="shared" si="40"/>
        <v>spectral-api-ruleset</v>
      </c>
      <c r="E856" s="3" t="str">
        <f t="shared" si="41"/>
        <v>v1.9.2</v>
      </c>
      <c r="F856" t="str">
        <f>IF(COUNTIFS('[1]25 November'!$E:$E,$D856)&gt;0, "NEW FINDING", IF(COUNTIFS('[1]20 September New Socket'!E:E,$D856)&gt;0,"PREVOUS REPORT","N/A"))</f>
        <v>NEW FINDING</v>
      </c>
    </row>
    <row r="857" spans="1:6" x14ac:dyDescent="0.2">
      <c r="A857" s="1">
        <v>45986</v>
      </c>
      <c r="B857" s="4" t="s">
        <v>857</v>
      </c>
      <c r="C857" s="3" t="str">
        <f t="shared" si="39"/>
        <v>@zapier</v>
      </c>
      <c r="D857" s="3" t="str">
        <f t="shared" si="40"/>
        <v>spectral-api-ruleset</v>
      </c>
      <c r="E857" s="3" t="str">
        <f t="shared" si="41"/>
        <v>v1.9.3</v>
      </c>
      <c r="F857" t="str">
        <f>IF(COUNTIFS('[1]25 November'!$E:$E,$D857)&gt;0, "NEW FINDING", IF(COUNTIFS('[1]20 September New Socket'!E:E,$D857)&gt;0,"PREVOUS REPORT","N/A"))</f>
        <v>NEW FINDING</v>
      </c>
    </row>
    <row r="858" spans="1:6" x14ac:dyDescent="0.2">
      <c r="A858" s="1">
        <v>45986</v>
      </c>
      <c r="B858" s="4" t="s">
        <v>858</v>
      </c>
      <c r="C858" s="3" t="str">
        <f t="shared" si="39"/>
        <v>@zapier</v>
      </c>
      <c r="D858" s="3" t="str">
        <f t="shared" si="40"/>
        <v>stubtree</v>
      </c>
      <c r="E858" s="3" t="str">
        <f t="shared" si="41"/>
        <v>v0.1.2</v>
      </c>
      <c r="F858" t="str">
        <f>IF(COUNTIFS('[1]25 November'!$E:$E,$D858)&gt;0, "NEW FINDING", IF(COUNTIFS('[1]20 September New Socket'!E:E,$D858)&gt;0,"PREVOUS REPORT","N/A"))</f>
        <v>NEW FINDING</v>
      </c>
    </row>
    <row r="859" spans="1:6" x14ac:dyDescent="0.2">
      <c r="A859" s="1">
        <v>45986</v>
      </c>
      <c r="B859" s="4" t="s">
        <v>859</v>
      </c>
      <c r="C859" s="3" t="str">
        <f t="shared" si="39"/>
        <v>@zapier</v>
      </c>
      <c r="D859" s="3" t="str">
        <f t="shared" si="40"/>
        <v>stubtree</v>
      </c>
      <c r="E859" s="3" t="str">
        <f t="shared" si="41"/>
        <v>v0.1.3</v>
      </c>
      <c r="F859" t="str">
        <f>IF(COUNTIFS('[1]25 November'!$E:$E,$D859)&gt;0, "NEW FINDING", IF(COUNTIFS('[1]20 September New Socket'!E:E,$D859)&gt;0,"PREVOUS REPORT","N/A"))</f>
        <v>NEW FINDING</v>
      </c>
    </row>
    <row r="860" spans="1:6" x14ac:dyDescent="0.2">
      <c r="A860" s="1">
        <v>45986</v>
      </c>
      <c r="B860" s="4" t="s">
        <v>860</v>
      </c>
      <c r="C860" s="3" t="str">
        <f t="shared" si="39"/>
        <v>@zapier</v>
      </c>
      <c r="D860" s="3" t="str">
        <f t="shared" si="40"/>
        <v>stubtree</v>
      </c>
      <c r="E860" s="3" t="str">
        <f t="shared" si="41"/>
        <v>v0.1.4</v>
      </c>
      <c r="F860" t="str">
        <f>IF(COUNTIFS('[1]25 November'!$E:$E,$D860)&gt;0, "NEW FINDING", IF(COUNTIFS('[1]20 September New Socket'!E:E,$D860)&gt;0,"PREVOUS REPORT","N/A"))</f>
        <v>NEW FINDING</v>
      </c>
    </row>
    <row r="861" spans="1:6" x14ac:dyDescent="0.2">
      <c r="A861" s="1">
        <v>45986</v>
      </c>
      <c r="B861" s="4" t="s">
        <v>861</v>
      </c>
      <c r="C861" s="3" t="str">
        <f t="shared" si="39"/>
        <v>@zapier</v>
      </c>
      <c r="D861" s="3" t="str">
        <f t="shared" si="40"/>
        <v>zapier-sdk</v>
      </c>
      <c r="E861" s="3" t="str">
        <f t="shared" si="41"/>
        <v>v0.15.5</v>
      </c>
      <c r="F861" t="str">
        <f>IF(COUNTIFS('[1]25 November'!$E:$E,$D861)&gt;0, "NEW FINDING", IF(COUNTIFS('[1]20 September New Socket'!E:E,$D861)&gt;0,"PREVOUS REPORT","N/A"))</f>
        <v>NEW FINDING</v>
      </c>
    </row>
    <row r="862" spans="1:6" x14ac:dyDescent="0.2">
      <c r="A862" s="1">
        <v>45986</v>
      </c>
      <c r="B862" s="4" t="s">
        <v>862</v>
      </c>
      <c r="C862" s="3" t="str">
        <f t="shared" si="39"/>
        <v>@zapier</v>
      </c>
      <c r="D862" s="3" t="str">
        <f t="shared" si="40"/>
        <v>zapier-sdk</v>
      </c>
      <c r="E862" s="3" t="str">
        <f t="shared" si="41"/>
        <v>v0.15.6</v>
      </c>
      <c r="F862" t="str">
        <f>IF(COUNTIFS('[1]25 November'!$E:$E,$D862)&gt;0, "NEW FINDING", IF(COUNTIFS('[1]20 September New Socket'!E:E,$D862)&gt;0,"PREVOUS REPORT","N/A"))</f>
        <v>NEW FINDING</v>
      </c>
    </row>
    <row r="863" spans="1:6" x14ac:dyDescent="0.2">
      <c r="A863" s="1">
        <v>45986</v>
      </c>
      <c r="B863" s="4" t="s">
        <v>863</v>
      </c>
      <c r="C863" s="3" t="str">
        <f t="shared" si="39"/>
        <v>@zapier</v>
      </c>
      <c r="D863" s="3" t="str">
        <f t="shared" si="40"/>
        <v>zapier-sdk</v>
      </c>
      <c r="E863" s="3" t="str">
        <f t="shared" si="41"/>
        <v>v0.15.7</v>
      </c>
      <c r="F863" t="str">
        <f>IF(COUNTIFS('[1]25 November'!$E:$E,$D863)&gt;0, "NEW FINDING", IF(COUNTIFS('[1]20 September New Socket'!E:E,$D863)&gt;0,"PREVOUS REPORT","N/A"))</f>
        <v>NEW FINDING</v>
      </c>
    </row>
    <row r="864" spans="1:6" x14ac:dyDescent="0.2">
      <c r="A864" s="1">
        <v>45986</v>
      </c>
      <c r="B864" s="4" t="s">
        <v>864</v>
      </c>
      <c r="C864" s="5"/>
      <c r="D864" s="6" t="s">
        <v>865</v>
      </c>
      <c r="E864" s="6" t="s">
        <v>866</v>
      </c>
      <c r="F864" t="str">
        <f>IF(COUNTIFS('[1]25 November'!$E:$E,$D864)&gt;0, "NEW FINDING", IF(COUNTIFS('[1]20 September New Socket'!E:E,$D864)&gt;0,"PREVOUS REPORT","N/A"))</f>
        <v>NEW FINDING</v>
      </c>
    </row>
    <row r="865" spans="1:6" x14ac:dyDescent="0.2">
      <c r="A865" s="1">
        <v>45986</v>
      </c>
      <c r="B865" s="4" t="s">
        <v>867</v>
      </c>
      <c r="C865" s="5"/>
      <c r="D865" s="6" t="s">
        <v>865</v>
      </c>
      <c r="E865" s="6" t="s">
        <v>868</v>
      </c>
      <c r="F865" t="str">
        <f>IF(COUNTIFS('[1]25 November'!$E:$E,$D865)&gt;0, "NEW FINDING", IF(COUNTIFS('[1]20 September New Socket'!E:E,$D865)&gt;0,"PREVOUS REPORT","N/A"))</f>
        <v>NEW FINDING</v>
      </c>
    </row>
    <row r="866" spans="1:6" x14ac:dyDescent="0.2">
      <c r="A866" s="1">
        <v>45986</v>
      </c>
      <c r="B866" s="4" t="s">
        <v>869</v>
      </c>
      <c r="C866" s="5"/>
      <c r="D866" s="6" t="s">
        <v>870</v>
      </c>
      <c r="E866" s="6" t="s">
        <v>866</v>
      </c>
      <c r="F866" t="str">
        <f>IF(COUNTIFS('[1]25 November'!$E:$E,$D866)&gt;0, "NEW FINDING", IF(COUNTIFS('[1]20 September New Socket'!E:E,$D866)&gt;0,"PREVOUS REPORT","N/A"))</f>
        <v>NEW FINDING</v>
      </c>
    </row>
    <row r="867" spans="1:6" x14ac:dyDescent="0.2">
      <c r="A867" s="1">
        <v>45986</v>
      </c>
      <c r="B867" s="4" t="s">
        <v>871</v>
      </c>
      <c r="C867" s="5"/>
      <c r="D867" s="6" t="s">
        <v>870</v>
      </c>
      <c r="E867" s="6" t="s">
        <v>868</v>
      </c>
      <c r="F867" t="str">
        <f>IF(COUNTIFS('[1]25 November'!$E:$E,$D867)&gt;0, "NEW FINDING", IF(COUNTIFS('[1]20 September New Socket'!E:E,$D867)&gt;0,"PREVOUS REPORT","N/A"))</f>
        <v>NEW FINDING</v>
      </c>
    </row>
    <row r="868" spans="1:6" x14ac:dyDescent="0.2">
      <c r="A868" s="1">
        <v>45986</v>
      </c>
      <c r="B868" s="4" t="s">
        <v>872</v>
      </c>
      <c r="C868" s="5"/>
      <c r="D868" s="6" t="s">
        <v>873</v>
      </c>
      <c r="E868" s="6" t="s">
        <v>874</v>
      </c>
      <c r="F868" t="str">
        <f>IF(COUNTIFS('[1]25 November'!$E:$E,$D868)&gt;0, "NEW FINDING", IF(COUNTIFS('[1]20 September New Socket'!E:E,$D868)&gt;0,"PREVOUS REPORT","N/A"))</f>
        <v>NEW FINDING</v>
      </c>
    </row>
    <row r="869" spans="1:6" x14ac:dyDescent="0.2">
      <c r="A869" s="1">
        <v>45986</v>
      </c>
      <c r="B869" s="4" t="s">
        <v>875</v>
      </c>
      <c r="C869" s="5"/>
      <c r="D869" s="6" t="s">
        <v>873</v>
      </c>
      <c r="E869" s="6" t="s">
        <v>876</v>
      </c>
      <c r="F869" t="str">
        <f>IF(COUNTIFS('[1]25 November'!$E:$E,$D869)&gt;0, "NEW FINDING", IF(COUNTIFS('[1]20 September New Socket'!E:E,$D869)&gt;0,"PREVOUS REPORT","N/A"))</f>
        <v>NEW FINDING</v>
      </c>
    </row>
    <row r="870" spans="1:6" x14ac:dyDescent="0.2">
      <c r="A870" s="1">
        <v>45986</v>
      </c>
      <c r="B870" s="4" t="s">
        <v>877</v>
      </c>
      <c r="C870" s="5"/>
      <c r="D870" s="6" t="s">
        <v>878</v>
      </c>
      <c r="E870" s="6" t="s">
        <v>879</v>
      </c>
      <c r="F870" t="str">
        <f>IF(COUNTIFS('[1]25 November'!$E:$E,$D870)&gt;0, "NEW FINDING", IF(COUNTIFS('[1]20 September New Socket'!E:E,$D870)&gt;0,"PREVOUS REPORT","N/A"))</f>
        <v>NEW FINDING</v>
      </c>
    </row>
    <row r="871" spans="1:6" x14ac:dyDescent="0.2">
      <c r="A871" s="1">
        <v>45986</v>
      </c>
      <c r="B871" s="4" t="s">
        <v>880</v>
      </c>
      <c r="C871" s="5"/>
      <c r="D871" s="6" t="s">
        <v>878</v>
      </c>
      <c r="E871" s="6" t="s">
        <v>881</v>
      </c>
      <c r="F871" t="str">
        <f>IF(COUNTIFS('[1]25 November'!$E:$E,$D871)&gt;0, "NEW FINDING", IF(COUNTIFS('[1]20 September New Socket'!E:E,$D871)&gt;0,"PREVOUS REPORT","N/A"))</f>
        <v>NEW FINDING</v>
      </c>
    </row>
    <row r="872" spans="1:6" x14ac:dyDescent="0.2">
      <c r="A872" s="1">
        <v>45986</v>
      </c>
      <c r="B872" s="4" t="s">
        <v>882</v>
      </c>
      <c r="C872" s="5"/>
      <c r="D872" s="6" t="s">
        <v>878</v>
      </c>
      <c r="E872" s="6" t="s">
        <v>883</v>
      </c>
      <c r="F872" t="str">
        <f>IF(COUNTIFS('[1]25 November'!$E:$E,$D872)&gt;0, "NEW FINDING", IF(COUNTIFS('[1]20 September New Socket'!E:E,$D872)&gt;0,"PREVOUS REPORT","N/A"))</f>
        <v>NEW FINDING</v>
      </c>
    </row>
    <row r="873" spans="1:6" x14ac:dyDescent="0.2">
      <c r="A873" s="1">
        <v>45986</v>
      </c>
      <c r="B873" s="4" t="s">
        <v>884</v>
      </c>
      <c r="C873" s="5"/>
      <c r="D873" s="6" t="s">
        <v>878</v>
      </c>
      <c r="E873" s="6" t="s">
        <v>885</v>
      </c>
      <c r="F873" t="str">
        <f>IF(COUNTIFS('[1]25 November'!$E:$E,$D873)&gt;0, "NEW FINDING", IF(COUNTIFS('[1]20 September New Socket'!E:E,$D873)&gt;0,"PREVOUS REPORT","N/A"))</f>
        <v>NEW FINDING</v>
      </c>
    </row>
    <row r="874" spans="1:6" x14ac:dyDescent="0.2">
      <c r="A874" s="1">
        <v>45986</v>
      </c>
      <c r="B874" s="4" t="s">
        <v>886</v>
      </c>
      <c r="C874" s="5"/>
      <c r="D874" s="6" t="s">
        <v>887</v>
      </c>
      <c r="E874" s="6" t="s">
        <v>888</v>
      </c>
      <c r="F874" t="str">
        <f>IF(COUNTIFS('[1]25 November'!$E:$E,$D874)&gt;0, "NEW FINDING", IF(COUNTIFS('[1]20 September New Socket'!E:E,$D874)&gt;0,"PREVOUS REPORT","N/A"))</f>
        <v>NEW FINDING</v>
      </c>
    </row>
    <row r="875" spans="1:6" x14ac:dyDescent="0.2">
      <c r="A875" s="1">
        <v>45986</v>
      </c>
      <c r="B875" s="4" t="s">
        <v>889</v>
      </c>
      <c r="C875" s="5"/>
      <c r="D875" s="6" t="s">
        <v>887</v>
      </c>
      <c r="E875" s="6" t="s">
        <v>890</v>
      </c>
      <c r="F875" t="str">
        <f>IF(COUNTIFS('[1]25 November'!$E:$E,$D875)&gt;0, "NEW FINDING", IF(COUNTIFS('[1]20 September New Socket'!E:E,$D875)&gt;0,"PREVOUS REPORT","N/A"))</f>
        <v>NEW FINDING</v>
      </c>
    </row>
    <row r="876" spans="1:6" x14ac:dyDescent="0.2">
      <c r="A876" s="1">
        <v>45986</v>
      </c>
      <c r="B876" s="4" t="s">
        <v>891</v>
      </c>
      <c r="C876" s="5"/>
      <c r="D876" s="6" t="s">
        <v>887</v>
      </c>
      <c r="E876" s="6" t="s">
        <v>892</v>
      </c>
      <c r="F876" t="str">
        <f>IF(COUNTIFS('[1]25 November'!$E:$E,$D876)&gt;0, "NEW FINDING", IF(COUNTIFS('[1]20 September New Socket'!E:E,$D876)&gt;0,"PREVOUS REPORT","N/A"))</f>
        <v>NEW FINDING</v>
      </c>
    </row>
    <row r="877" spans="1:6" x14ac:dyDescent="0.2">
      <c r="A877" s="1">
        <v>45986</v>
      </c>
      <c r="B877" s="4" t="s">
        <v>893</v>
      </c>
      <c r="C877" s="5"/>
      <c r="D877" s="6" t="s">
        <v>887</v>
      </c>
      <c r="E877" s="6" t="s">
        <v>894</v>
      </c>
      <c r="F877" t="str">
        <f>IF(COUNTIFS('[1]25 November'!$E:$E,$D877)&gt;0, "NEW FINDING", IF(COUNTIFS('[1]20 September New Socket'!E:E,$D877)&gt;0,"PREVOUS REPORT","N/A"))</f>
        <v>NEW FINDING</v>
      </c>
    </row>
    <row r="878" spans="1:6" x14ac:dyDescent="0.2">
      <c r="A878" s="1">
        <v>45986</v>
      </c>
      <c r="B878" s="4" t="s">
        <v>895</v>
      </c>
      <c r="C878" s="5"/>
      <c r="D878" s="6" t="s">
        <v>896</v>
      </c>
      <c r="E878" s="6" t="s">
        <v>897</v>
      </c>
      <c r="F878" t="str">
        <f>IF(COUNTIFS('[1]25 November'!$E:$E,$D878)&gt;0, "NEW FINDING", IF(COUNTIFS('[1]20 September New Socket'!E:E,$D878)&gt;0,"PREVOUS REPORT","N/A"))</f>
        <v>NEW FINDING</v>
      </c>
    </row>
    <row r="879" spans="1:6" x14ac:dyDescent="0.2">
      <c r="A879" s="1">
        <v>45986</v>
      </c>
      <c r="B879" s="4" t="s">
        <v>898</v>
      </c>
      <c r="C879" s="5"/>
      <c r="D879" s="6" t="s">
        <v>896</v>
      </c>
      <c r="E879" s="6" t="s">
        <v>899</v>
      </c>
      <c r="F879" t="str">
        <f>IF(COUNTIFS('[1]25 November'!$E:$E,$D879)&gt;0, "NEW FINDING", IF(COUNTIFS('[1]20 September New Socket'!E:E,$D879)&gt;0,"PREVOUS REPORT","N/A"))</f>
        <v>NEW FINDING</v>
      </c>
    </row>
    <row r="880" spans="1:6" x14ac:dyDescent="0.2">
      <c r="A880" s="1">
        <v>45986</v>
      </c>
      <c r="B880" s="4" t="s">
        <v>900</v>
      </c>
      <c r="C880" s="5"/>
      <c r="D880" s="6" t="s">
        <v>901</v>
      </c>
      <c r="E880" s="6" t="s">
        <v>902</v>
      </c>
      <c r="F880" t="str">
        <f>IF(COUNTIFS('[1]25 November'!$E:$E,$D880)&gt;0, "NEW FINDING", IF(COUNTIFS('[1]20 September New Socket'!E:E,$D880)&gt;0,"PREVOUS REPORT","N/A"))</f>
        <v>NEW FINDING</v>
      </c>
    </row>
    <row r="881" spans="1:6" x14ac:dyDescent="0.2">
      <c r="A881" s="1">
        <v>45986</v>
      </c>
      <c r="B881" s="4" t="s">
        <v>903</v>
      </c>
      <c r="C881" s="5"/>
      <c r="D881" s="6" t="s">
        <v>901</v>
      </c>
      <c r="E881" s="6" t="s">
        <v>904</v>
      </c>
      <c r="F881" t="str">
        <f>IF(COUNTIFS('[1]25 November'!$E:$E,$D881)&gt;0, "NEW FINDING", IF(COUNTIFS('[1]20 September New Socket'!E:E,$D881)&gt;0,"PREVOUS REPORT","N/A"))</f>
        <v>NEW FINDING</v>
      </c>
    </row>
    <row r="882" spans="1:6" x14ac:dyDescent="0.2">
      <c r="A882" s="1">
        <v>45986</v>
      </c>
      <c r="B882" s="4" t="s">
        <v>905</v>
      </c>
      <c r="C882" s="5"/>
      <c r="D882" s="6" t="s">
        <v>906</v>
      </c>
      <c r="E882" s="6" t="s">
        <v>907</v>
      </c>
      <c r="F882" t="str">
        <f>IF(COUNTIFS('[1]25 November'!$E:$E,$D882)&gt;0, "NEW FINDING", IF(COUNTIFS('[1]20 September New Socket'!E:E,$D882)&gt;0,"PREVOUS REPORT","N/A"))</f>
        <v>NEW FINDING</v>
      </c>
    </row>
    <row r="883" spans="1:6" x14ac:dyDescent="0.2">
      <c r="A883" s="1">
        <v>45986</v>
      </c>
      <c r="B883" s="4" t="s">
        <v>908</v>
      </c>
      <c r="C883" s="5"/>
      <c r="D883" s="6" t="s">
        <v>906</v>
      </c>
      <c r="E883" s="6" t="s">
        <v>909</v>
      </c>
      <c r="F883" t="str">
        <f>IF(COUNTIFS('[1]25 November'!$E:$E,$D883)&gt;0, "NEW FINDING", IF(COUNTIFS('[1]20 September New Socket'!E:E,$D883)&gt;0,"PREVOUS REPORT","N/A"))</f>
        <v>NEW FINDING</v>
      </c>
    </row>
    <row r="884" spans="1:6" x14ac:dyDescent="0.2">
      <c r="A884" s="1">
        <v>45986</v>
      </c>
      <c r="B884" s="4" t="s">
        <v>910</v>
      </c>
      <c r="C884" s="5"/>
      <c r="D884" s="6" t="s">
        <v>911</v>
      </c>
      <c r="E884" s="6" t="s">
        <v>868</v>
      </c>
      <c r="F884" t="str">
        <f>IF(COUNTIFS('[1]25 November'!$E:$E,$D884)&gt;0, "NEW FINDING", IF(COUNTIFS('[1]20 September New Socket'!E:E,$D884)&gt;0,"PREVOUS REPORT","N/A"))</f>
        <v>NEW FINDING</v>
      </c>
    </row>
    <row r="885" spans="1:6" x14ac:dyDescent="0.2">
      <c r="A885" s="1">
        <v>45986</v>
      </c>
      <c r="B885" s="4" t="s">
        <v>912</v>
      </c>
      <c r="C885" s="5"/>
      <c r="D885" s="6" t="s">
        <v>911</v>
      </c>
      <c r="E885" s="6" t="s">
        <v>913</v>
      </c>
      <c r="F885" t="str">
        <f>IF(COUNTIFS('[1]25 November'!$E:$E,$D885)&gt;0, "NEW FINDING", IF(COUNTIFS('[1]20 September New Socket'!E:E,$D885)&gt;0,"PREVOUS REPORT","N/A"))</f>
        <v>NEW FINDING</v>
      </c>
    </row>
    <row r="886" spans="1:6" x14ac:dyDescent="0.2">
      <c r="A886" s="1">
        <v>45986</v>
      </c>
      <c r="B886" s="4" t="s">
        <v>914</v>
      </c>
      <c r="C886" s="5"/>
      <c r="D886" s="6" t="s">
        <v>911</v>
      </c>
      <c r="E886" s="6" t="s">
        <v>915</v>
      </c>
      <c r="F886" t="str">
        <f>IF(COUNTIFS('[1]25 November'!$E:$E,$D886)&gt;0, "NEW FINDING", IF(COUNTIFS('[1]20 September New Socket'!E:E,$D886)&gt;0,"PREVOUS REPORT","N/A"))</f>
        <v>NEW FINDING</v>
      </c>
    </row>
    <row r="887" spans="1:6" x14ac:dyDescent="0.2">
      <c r="A887" s="1">
        <v>45986</v>
      </c>
      <c r="B887" s="4" t="s">
        <v>916</v>
      </c>
      <c r="C887" s="5"/>
      <c r="D887" s="6" t="s">
        <v>911</v>
      </c>
      <c r="E887" s="6" t="s">
        <v>917</v>
      </c>
      <c r="F887" t="str">
        <f>IF(COUNTIFS('[1]25 November'!$E:$E,$D887)&gt;0, "NEW FINDING", IF(COUNTIFS('[1]20 September New Socket'!E:E,$D887)&gt;0,"PREVOUS REPORT","N/A"))</f>
        <v>NEW FINDING</v>
      </c>
    </row>
    <row r="888" spans="1:6" x14ac:dyDescent="0.2">
      <c r="A888" s="1">
        <v>45986</v>
      </c>
      <c r="B888" s="4" t="s">
        <v>918</v>
      </c>
      <c r="C888" s="5"/>
      <c r="D888" s="6" t="s">
        <v>919</v>
      </c>
      <c r="E888" s="6" t="s">
        <v>866</v>
      </c>
      <c r="F888" t="str">
        <f>IF(COUNTIFS('[1]25 November'!$E:$E,$D888)&gt;0, "NEW FINDING", IF(COUNTIFS('[1]20 September New Socket'!E:E,$D888)&gt;0,"PREVOUS REPORT","N/A"))</f>
        <v>NEW FINDING</v>
      </c>
    </row>
    <row r="889" spans="1:6" x14ac:dyDescent="0.2">
      <c r="A889" s="1">
        <v>45986</v>
      </c>
      <c r="B889" s="4" t="s">
        <v>920</v>
      </c>
      <c r="C889" s="5"/>
      <c r="D889" s="6" t="s">
        <v>919</v>
      </c>
      <c r="E889" s="6" t="s">
        <v>868</v>
      </c>
      <c r="F889" t="str">
        <f>IF(COUNTIFS('[1]25 November'!$E:$E,$D889)&gt;0, "NEW FINDING", IF(COUNTIFS('[1]20 September New Socket'!E:E,$D889)&gt;0,"PREVOUS REPORT","N/A"))</f>
        <v>NEW FINDING</v>
      </c>
    </row>
    <row r="890" spans="1:6" x14ac:dyDescent="0.2">
      <c r="A890" s="1">
        <v>45986</v>
      </c>
      <c r="B890" s="4" t="s">
        <v>921</v>
      </c>
      <c r="C890" s="5"/>
      <c r="D890" s="6" t="s">
        <v>922</v>
      </c>
      <c r="E890" s="6" t="s">
        <v>907</v>
      </c>
      <c r="F890" t="str">
        <f>IF(COUNTIFS('[1]25 November'!$E:$E,$D890)&gt;0, "NEW FINDING", IF(COUNTIFS('[1]20 September New Socket'!E:E,$D890)&gt;0,"PREVOUS REPORT","N/A"))</f>
        <v>NEW FINDING</v>
      </c>
    </row>
    <row r="891" spans="1:6" x14ac:dyDescent="0.2">
      <c r="A891" s="1">
        <v>45986</v>
      </c>
      <c r="B891" s="4" t="s">
        <v>923</v>
      </c>
      <c r="C891" s="5"/>
      <c r="D891" s="6" t="s">
        <v>922</v>
      </c>
      <c r="E891" s="6" t="s">
        <v>909</v>
      </c>
      <c r="F891" t="str">
        <f>IF(COUNTIFS('[1]25 November'!$E:$E,$D891)&gt;0, "NEW FINDING", IF(COUNTIFS('[1]20 September New Socket'!E:E,$D891)&gt;0,"PREVOUS REPORT","N/A"))</f>
        <v>NEW FINDING</v>
      </c>
    </row>
    <row r="892" spans="1:6" x14ac:dyDescent="0.2">
      <c r="A892" s="1">
        <v>45986</v>
      </c>
      <c r="B892" s="4" t="s">
        <v>924</v>
      </c>
      <c r="C892" s="5"/>
      <c r="D892" s="6" t="s">
        <v>922</v>
      </c>
      <c r="E892" s="6" t="s">
        <v>874</v>
      </c>
      <c r="F892" t="str">
        <f>IF(COUNTIFS('[1]25 November'!$E:$E,$D892)&gt;0, "NEW FINDING", IF(COUNTIFS('[1]20 September New Socket'!E:E,$D892)&gt;0,"PREVOUS REPORT","N/A"))</f>
        <v>NEW FINDING</v>
      </c>
    </row>
    <row r="893" spans="1:6" x14ac:dyDescent="0.2">
      <c r="A893" s="1">
        <v>45986</v>
      </c>
      <c r="B893" s="4" t="s">
        <v>925</v>
      </c>
      <c r="C893" s="5"/>
      <c r="D893" s="6" t="s">
        <v>922</v>
      </c>
      <c r="E893" s="6" t="s">
        <v>876</v>
      </c>
      <c r="F893" t="str">
        <f>IF(COUNTIFS('[1]25 November'!$E:$E,$D893)&gt;0, "NEW FINDING", IF(COUNTIFS('[1]20 September New Socket'!E:E,$D893)&gt;0,"PREVOUS REPORT","N/A"))</f>
        <v>NEW FINDING</v>
      </c>
    </row>
    <row r="894" spans="1:6" x14ac:dyDescent="0.2">
      <c r="A894" s="1">
        <v>45986</v>
      </c>
      <c r="B894" s="4" t="s">
        <v>926</v>
      </c>
      <c r="C894" s="5"/>
      <c r="D894" s="6" t="s">
        <v>927</v>
      </c>
      <c r="E894" s="6" t="s">
        <v>928</v>
      </c>
      <c r="F894" t="str">
        <f>IF(COUNTIFS('[1]25 November'!$E:$E,$D894)&gt;0, "NEW FINDING", IF(COUNTIFS('[1]20 September New Socket'!E:E,$D894)&gt;0,"PREVOUS REPORT","N/A"))</f>
        <v>NEW FINDING</v>
      </c>
    </row>
    <row r="895" spans="1:6" x14ac:dyDescent="0.2">
      <c r="A895" s="1">
        <v>45986</v>
      </c>
      <c r="B895" s="4" t="s">
        <v>929</v>
      </c>
      <c r="C895" s="5"/>
      <c r="D895" s="6" t="s">
        <v>927</v>
      </c>
      <c r="E895" s="6" t="s">
        <v>930</v>
      </c>
      <c r="F895" t="str">
        <f>IF(COUNTIFS('[1]25 November'!$E:$E,$D895)&gt;0, "NEW FINDING", IF(COUNTIFS('[1]20 September New Socket'!E:E,$D895)&gt;0,"PREVOUS REPORT","N/A"))</f>
        <v>NEW FINDING</v>
      </c>
    </row>
    <row r="896" spans="1:6" x14ac:dyDescent="0.2">
      <c r="A896" s="1">
        <v>45986</v>
      </c>
      <c r="B896" s="4" t="s">
        <v>931</v>
      </c>
      <c r="C896" s="5"/>
      <c r="D896" s="6" t="s">
        <v>932</v>
      </c>
      <c r="E896" s="6" t="s">
        <v>907</v>
      </c>
      <c r="F896" t="str">
        <f>IF(COUNTIFS('[1]25 November'!$E:$E,$D896)&gt;0, "NEW FINDING", IF(COUNTIFS('[1]20 September New Socket'!E:E,$D896)&gt;0,"PREVOUS REPORT","N/A"))</f>
        <v>NEW FINDING</v>
      </c>
    </row>
    <row r="897" spans="1:6" x14ac:dyDescent="0.2">
      <c r="A897" s="1">
        <v>45986</v>
      </c>
      <c r="B897" s="4" t="s">
        <v>933</v>
      </c>
      <c r="C897" s="5"/>
      <c r="D897" s="6" t="s">
        <v>932</v>
      </c>
      <c r="E897" s="6" t="s">
        <v>909</v>
      </c>
      <c r="F897" t="str">
        <f>IF(COUNTIFS('[1]25 November'!$E:$E,$D897)&gt;0, "NEW FINDING", IF(COUNTIFS('[1]20 September New Socket'!E:E,$D897)&gt;0,"PREVOUS REPORT","N/A"))</f>
        <v>NEW FINDING</v>
      </c>
    </row>
    <row r="898" spans="1:6" x14ac:dyDescent="0.2">
      <c r="A898" s="1">
        <v>45986</v>
      </c>
      <c r="B898" s="4" t="s">
        <v>934</v>
      </c>
      <c r="C898" s="5"/>
      <c r="D898" s="6" t="s">
        <v>932</v>
      </c>
      <c r="E898" s="6" t="s">
        <v>874</v>
      </c>
      <c r="F898" t="str">
        <f>IF(COUNTIFS('[1]25 November'!$E:$E,$D898)&gt;0, "NEW FINDING", IF(COUNTIFS('[1]20 September New Socket'!E:E,$D898)&gt;0,"PREVOUS REPORT","N/A"))</f>
        <v>NEW FINDING</v>
      </c>
    </row>
    <row r="899" spans="1:6" x14ac:dyDescent="0.2">
      <c r="A899" s="1">
        <v>45986</v>
      </c>
      <c r="B899" s="4" t="s">
        <v>935</v>
      </c>
      <c r="C899" s="5"/>
      <c r="D899" s="6" t="s">
        <v>932</v>
      </c>
      <c r="E899" s="6" t="s">
        <v>876</v>
      </c>
      <c r="F899" t="str">
        <f>IF(COUNTIFS('[1]25 November'!$E:$E,$D899)&gt;0, "NEW FINDING", IF(COUNTIFS('[1]20 September New Socket'!E:E,$D899)&gt;0,"PREVOUS REPORT","N/A"))</f>
        <v>NEW FINDING</v>
      </c>
    </row>
    <row r="900" spans="1:6" x14ac:dyDescent="0.2">
      <c r="A900" s="1">
        <v>45986</v>
      </c>
      <c r="B900" s="4" t="s">
        <v>936</v>
      </c>
      <c r="C900" s="5"/>
      <c r="D900" s="6" t="s">
        <v>937</v>
      </c>
      <c r="E900" s="6" t="s">
        <v>938</v>
      </c>
      <c r="F900" t="str">
        <f>IF(COUNTIFS('[1]25 November'!$E:$E,$D900)&gt;0, "NEW FINDING", IF(COUNTIFS('[1]20 September New Socket'!E:E,$D900)&gt;0,"PREVOUS REPORT","N/A"))</f>
        <v>NEW FINDING</v>
      </c>
    </row>
    <row r="901" spans="1:6" x14ac:dyDescent="0.2">
      <c r="A901" s="1">
        <v>45986</v>
      </c>
      <c r="B901" s="4" t="s">
        <v>939</v>
      </c>
      <c r="C901" s="5"/>
      <c r="D901" s="6" t="s">
        <v>937</v>
      </c>
      <c r="E901" s="6" t="s">
        <v>940</v>
      </c>
      <c r="F901" t="str">
        <f>IF(COUNTIFS('[1]25 November'!$E:$E,$D901)&gt;0, "NEW FINDING", IF(COUNTIFS('[1]20 September New Socket'!E:E,$D901)&gt;0,"PREVOUS REPORT","N/A"))</f>
        <v>NEW FINDING</v>
      </c>
    </row>
    <row r="902" spans="1:6" x14ac:dyDescent="0.2">
      <c r="A902" s="1">
        <v>45986</v>
      </c>
      <c r="B902" s="4" t="s">
        <v>941</v>
      </c>
      <c r="C902" s="5"/>
      <c r="D902" s="6" t="s">
        <v>937</v>
      </c>
      <c r="E902" s="6" t="s">
        <v>942</v>
      </c>
      <c r="F902" t="str">
        <f>IF(COUNTIFS('[1]25 November'!$E:$E,$D902)&gt;0, "NEW FINDING", IF(COUNTIFS('[1]20 September New Socket'!E:E,$D902)&gt;0,"PREVOUS REPORT","N/A"))</f>
        <v>NEW FINDING</v>
      </c>
    </row>
    <row r="903" spans="1:6" x14ac:dyDescent="0.2">
      <c r="A903" s="1">
        <v>45986</v>
      </c>
      <c r="B903" s="4" t="s">
        <v>943</v>
      </c>
      <c r="C903" s="5"/>
      <c r="D903" s="6" t="s">
        <v>937</v>
      </c>
      <c r="E903" s="6" t="s">
        <v>944</v>
      </c>
      <c r="F903" t="str">
        <f>IF(COUNTIFS('[1]25 November'!$E:$E,$D903)&gt;0, "NEW FINDING", IF(COUNTIFS('[1]20 September New Socket'!E:E,$D903)&gt;0,"PREVOUS REPORT","N/A"))</f>
        <v>NEW FINDING</v>
      </c>
    </row>
    <row r="904" spans="1:6" x14ac:dyDescent="0.2">
      <c r="B904" s="4" t="s">
        <v>945</v>
      </c>
      <c r="C904" s="5"/>
      <c r="D904" s="6" t="s">
        <v>946</v>
      </c>
      <c r="E904" s="6" t="s">
        <v>866</v>
      </c>
      <c r="F904" t="str">
        <f>IF(COUNTIFS('[1]25 November'!$E:$E,$D904)&gt;0, "NEW FINDING", IF(COUNTIFS('[1]20 September New Socket'!E:E,$D904)&gt;0,"PREVOUS REPORT","N/A"))</f>
        <v>N/A</v>
      </c>
    </row>
    <row r="905" spans="1:6" x14ac:dyDescent="0.2">
      <c r="B905" s="4" t="s">
        <v>947</v>
      </c>
      <c r="C905" s="5"/>
      <c r="D905" s="6" t="s">
        <v>946</v>
      </c>
      <c r="E905" s="6" t="s">
        <v>868</v>
      </c>
      <c r="F905" t="str">
        <f>IF(COUNTIFS('[1]25 November'!$E:$E,$D905)&gt;0, "NEW FINDING", IF(COUNTIFS('[1]20 September New Socket'!E:E,$D905)&gt;0,"PREVOUS REPORT","N/A"))</f>
        <v>N/A</v>
      </c>
    </row>
    <row r="906" spans="1:6" x14ac:dyDescent="0.2">
      <c r="A906" s="1">
        <v>45986</v>
      </c>
      <c r="B906" s="4" t="s">
        <v>948</v>
      </c>
      <c r="C906" s="5"/>
      <c r="D906" s="6" t="s">
        <v>949</v>
      </c>
      <c r="E906" s="6" t="s">
        <v>866</v>
      </c>
      <c r="F906" t="str">
        <f>IF(COUNTIFS('[1]25 November'!$E:$E,$D906)&gt;0, "NEW FINDING", IF(COUNTIFS('[1]20 September New Socket'!E:E,$D906)&gt;0,"PREVOUS REPORT","N/A"))</f>
        <v>NEW FINDING</v>
      </c>
    </row>
    <row r="907" spans="1:6" x14ac:dyDescent="0.2">
      <c r="A907" s="1">
        <v>45986</v>
      </c>
      <c r="B907" s="4" t="s">
        <v>950</v>
      </c>
      <c r="C907" s="5"/>
      <c r="D907" s="6" t="s">
        <v>949</v>
      </c>
      <c r="E907" s="6" t="s">
        <v>868</v>
      </c>
      <c r="F907" t="str">
        <f>IF(COUNTIFS('[1]25 November'!$E:$E,$D907)&gt;0, "NEW FINDING", IF(COUNTIFS('[1]20 September New Socket'!E:E,$D907)&gt;0,"PREVOUS REPORT","N/A"))</f>
        <v>NEW FINDING</v>
      </c>
    </row>
    <row r="908" spans="1:6" x14ac:dyDescent="0.2">
      <c r="A908" s="1">
        <v>45986</v>
      </c>
      <c r="B908" s="4" t="s">
        <v>951</v>
      </c>
      <c r="C908" s="5"/>
      <c r="D908" s="6" t="s">
        <v>952</v>
      </c>
      <c r="E908" s="6" t="s">
        <v>868</v>
      </c>
      <c r="F908" t="str">
        <f>IF(COUNTIFS('[1]25 November'!$E:$E,$D908)&gt;0, "NEW FINDING", IF(COUNTIFS('[1]20 September New Socket'!E:E,$D908)&gt;0,"PREVOUS REPORT","N/A"))</f>
        <v>NEW FINDING</v>
      </c>
    </row>
    <row r="909" spans="1:6" x14ac:dyDescent="0.2">
      <c r="A909" s="1">
        <v>45986</v>
      </c>
      <c r="B909" s="4" t="s">
        <v>953</v>
      </c>
      <c r="C909" s="5"/>
      <c r="D909" s="6" t="s">
        <v>952</v>
      </c>
      <c r="E909" s="6" t="s">
        <v>913</v>
      </c>
      <c r="F909" t="str">
        <f>IF(COUNTIFS('[1]25 November'!$E:$E,$D909)&gt;0, "NEW FINDING", IF(COUNTIFS('[1]20 September New Socket'!E:E,$D909)&gt;0,"PREVOUS REPORT","N/A"))</f>
        <v>NEW FINDING</v>
      </c>
    </row>
    <row r="910" spans="1:6" x14ac:dyDescent="0.2">
      <c r="A910" s="1">
        <v>45986</v>
      </c>
      <c r="B910" s="4" t="s">
        <v>954</v>
      </c>
      <c r="C910" s="5"/>
      <c r="D910" s="6" t="s">
        <v>955</v>
      </c>
      <c r="E910" s="6" t="s">
        <v>866</v>
      </c>
      <c r="F910" t="str">
        <f>IF(COUNTIFS('[1]25 November'!$E:$E,$D910)&gt;0, "NEW FINDING", IF(COUNTIFS('[1]20 September New Socket'!E:E,$D910)&gt;0,"PREVOUS REPORT","N/A"))</f>
        <v>NEW FINDING</v>
      </c>
    </row>
    <row r="911" spans="1:6" x14ac:dyDescent="0.2">
      <c r="A911" s="1">
        <v>45986</v>
      </c>
      <c r="B911" s="4" t="s">
        <v>956</v>
      </c>
      <c r="C911" s="5"/>
      <c r="D911" s="6" t="s">
        <v>955</v>
      </c>
      <c r="E911" s="6" t="s">
        <v>868</v>
      </c>
      <c r="F911" t="str">
        <f>IF(COUNTIFS('[1]25 November'!$E:$E,$D911)&gt;0, "NEW FINDING", IF(COUNTIFS('[1]20 September New Socket'!E:E,$D911)&gt;0,"PREVOUS REPORT","N/A"))</f>
        <v>NEW FINDING</v>
      </c>
    </row>
    <row r="912" spans="1:6" x14ac:dyDescent="0.2">
      <c r="A912" s="1">
        <v>45986</v>
      </c>
      <c r="B912" s="4" t="s">
        <v>957</v>
      </c>
      <c r="C912" s="5"/>
      <c r="D912" s="6" t="s">
        <v>958</v>
      </c>
      <c r="E912" s="6" t="s">
        <v>866</v>
      </c>
      <c r="F912" t="str">
        <f>IF(COUNTIFS('[1]25 November'!$E:$E,$D912)&gt;0, "NEW FINDING", IF(COUNTIFS('[1]20 September New Socket'!E:E,$D912)&gt;0,"PREVOUS REPORT","N/A"))</f>
        <v>NEW FINDING</v>
      </c>
    </row>
    <row r="913" spans="1:6" x14ac:dyDescent="0.2">
      <c r="A913" s="1">
        <v>45986</v>
      </c>
      <c r="B913" s="4" t="s">
        <v>959</v>
      </c>
      <c r="C913" s="5"/>
      <c r="D913" s="6" t="s">
        <v>958</v>
      </c>
      <c r="E913" s="6" t="s">
        <v>868</v>
      </c>
      <c r="F913" t="str">
        <f>IF(COUNTIFS('[1]25 November'!$E:$E,$D913)&gt;0, "NEW FINDING", IF(COUNTIFS('[1]20 September New Socket'!E:E,$D913)&gt;0,"PREVOUS REPORT","N/A"))</f>
        <v>NEW FINDING</v>
      </c>
    </row>
    <row r="914" spans="1:6" x14ac:dyDescent="0.2">
      <c r="A914" s="1">
        <v>45986</v>
      </c>
      <c r="B914" s="4" t="s">
        <v>960</v>
      </c>
      <c r="C914" s="5"/>
      <c r="D914" s="6" t="s">
        <v>961</v>
      </c>
      <c r="E914" s="6" t="s">
        <v>917</v>
      </c>
      <c r="F914" t="str">
        <f>IF(COUNTIFS('[1]25 November'!$E:$E,$D914)&gt;0, "NEW FINDING", IF(COUNTIFS('[1]20 September New Socket'!E:E,$D914)&gt;0,"PREVOUS REPORT","N/A"))</f>
        <v>NEW FINDING</v>
      </c>
    </row>
    <row r="915" spans="1:6" x14ac:dyDescent="0.2">
      <c r="A915" s="1">
        <v>45986</v>
      </c>
      <c r="B915" s="4" t="s">
        <v>962</v>
      </c>
      <c r="C915" s="5"/>
      <c r="D915" s="6" t="s">
        <v>961</v>
      </c>
      <c r="E915" s="6" t="s">
        <v>963</v>
      </c>
      <c r="F915" t="str">
        <f>IF(COUNTIFS('[1]25 November'!$E:$E,$D915)&gt;0, "NEW FINDING", IF(COUNTIFS('[1]20 September New Socket'!E:E,$D915)&gt;0,"PREVOUS REPORT","N/A"))</f>
        <v>NEW FINDING</v>
      </c>
    </row>
    <row r="916" spans="1:6" x14ac:dyDescent="0.2">
      <c r="A916" s="1">
        <v>45986</v>
      </c>
      <c r="B916" s="4" t="s">
        <v>964</v>
      </c>
      <c r="C916" s="5"/>
      <c r="D916" s="6" t="s">
        <v>965</v>
      </c>
      <c r="E916" s="6" t="s">
        <v>966</v>
      </c>
      <c r="F916" t="str">
        <f>IF(COUNTIFS('[1]25 November'!$E:$E,$D916)&gt;0, "NEW FINDING", IF(COUNTIFS('[1]20 September New Socket'!E:E,$D916)&gt;0,"PREVOUS REPORT","N/A"))</f>
        <v>NEW FINDING</v>
      </c>
    </row>
    <row r="917" spans="1:6" x14ac:dyDescent="0.2">
      <c r="A917" s="1">
        <v>45986</v>
      </c>
      <c r="B917" s="4" t="s">
        <v>967</v>
      </c>
      <c r="C917" s="5"/>
      <c r="D917" s="6" t="s">
        <v>965</v>
      </c>
      <c r="E917" s="6" t="s">
        <v>968</v>
      </c>
      <c r="F917" t="str">
        <f>IF(COUNTIFS('[1]25 November'!$E:$E,$D917)&gt;0, "NEW FINDING", IF(COUNTIFS('[1]20 September New Socket'!E:E,$D917)&gt;0,"PREVOUS REPORT","N/A"))</f>
        <v>NEW FINDING</v>
      </c>
    </row>
    <row r="918" spans="1:6" x14ac:dyDescent="0.2">
      <c r="A918" s="1">
        <v>45986</v>
      </c>
      <c r="B918" s="4" t="s">
        <v>969</v>
      </c>
      <c r="C918" s="5"/>
      <c r="D918" s="6" t="s">
        <v>965</v>
      </c>
      <c r="E918" s="6" t="s">
        <v>970</v>
      </c>
      <c r="F918" t="str">
        <f>IF(COUNTIFS('[1]25 November'!$E:$E,$D918)&gt;0, "NEW FINDING", IF(COUNTIFS('[1]20 September New Socket'!E:E,$D918)&gt;0,"PREVOUS REPORT","N/A"))</f>
        <v>NEW FINDING</v>
      </c>
    </row>
    <row r="919" spans="1:6" x14ac:dyDescent="0.2">
      <c r="A919" s="1">
        <v>45986</v>
      </c>
      <c r="B919" s="4" t="s">
        <v>971</v>
      </c>
      <c r="C919" s="5"/>
      <c r="D919" s="6" t="s">
        <v>965</v>
      </c>
      <c r="E919" s="6" t="s">
        <v>972</v>
      </c>
      <c r="F919" t="str">
        <f>IF(COUNTIFS('[1]25 November'!$E:$E,$D919)&gt;0, "NEW FINDING", IF(COUNTIFS('[1]20 September New Socket'!E:E,$D919)&gt;0,"PREVOUS REPORT","N/A"))</f>
        <v>NEW FINDING</v>
      </c>
    </row>
    <row r="920" spans="1:6" x14ac:dyDescent="0.2">
      <c r="A920" s="1">
        <v>45986</v>
      </c>
      <c r="B920" s="4" t="s">
        <v>973</v>
      </c>
      <c r="C920" s="5"/>
      <c r="D920" s="6" t="s">
        <v>974</v>
      </c>
      <c r="E920" s="6" t="s">
        <v>917</v>
      </c>
      <c r="F920" t="str">
        <f>IF(COUNTIFS('[1]25 November'!$E:$E,$D920)&gt;0, "NEW FINDING", IF(COUNTIFS('[1]20 September New Socket'!E:E,$D920)&gt;0,"PREVOUS REPORT","N/A"))</f>
        <v>NEW FINDING</v>
      </c>
    </row>
    <row r="921" spans="1:6" x14ac:dyDescent="0.2">
      <c r="A921" s="1">
        <v>45986</v>
      </c>
      <c r="B921" s="4" t="s">
        <v>975</v>
      </c>
      <c r="C921" s="5"/>
      <c r="D921" s="6" t="s">
        <v>974</v>
      </c>
      <c r="E921" s="6" t="s">
        <v>963</v>
      </c>
      <c r="F921" t="str">
        <f>IF(COUNTIFS('[1]25 November'!$E:$E,$D921)&gt;0, "NEW FINDING", IF(COUNTIFS('[1]20 September New Socket'!E:E,$D921)&gt;0,"PREVOUS REPORT","N/A"))</f>
        <v>NEW FINDING</v>
      </c>
    </row>
    <row r="922" spans="1:6" x14ac:dyDescent="0.2">
      <c r="A922" s="1">
        <v>45986</v>
      </c>
      <c r="B922" s="4" t="s">
        <v>976</v>
      </c>
      <c r="C922" s="5"/>
      <c r="D922" s="6" t="s">
        <v>974</v>
      </c>
      <c r="E922" s="6" t="s">
        <v>977</v>
      </c>
      <c r="F922" t="str">
        <f>IF(COUNTIFS('[1]25 November'!$E:$E,$D922)&gt;0, "NEW FINDING", IF(COUNTIFS('[1]20 September New Socket'!E:E,$D922)&gt;0,"PREVOUS REPORT","N/A"))</f>
        <v>NEW FINDING</v>
      </c>
    </row>
    <row r="923" spans="1:6" x14ac:dyDescent="0.2">
      <c r="A923" s="1">
        <v>45986</v>
      </c>
      <c r="B923" s="4" t="s">
        <v>978</v>
      </c>
      <c r="C923" s="5"/>
      <c r="D923" s="6" t="s">
        <v>974</v>
      </c>
      <c r="E923" s="6" t="s">
        <v>888</v>
      </c>
      <c r="F923" t="str">
        <f>IF(COUNTIFS('[1]25 November'!$E:$E,$D923)&gt;0, "NEW FINDING", IF(COUNTIFS('[1]20 September New Socket'!E:E,$D923)&gt;0,"PREVOUS REPORT","N/A"))</f>
        <v>NEW FINDING</v>
      </c>
    </row>
    <row r="924" spans="1:6" x14ac:dyDescent="0.2">
      <c r="A924" s="1">
        <v>45986</v>
      </c>
      <c r="B924" s="4" t="s">
        <v>979</v>
      </c>
      <c r="C924" s="5"/>
      <c r="D924" s="6" t="s">
        <v>980</v>
      </c>
      <c r="E924" s="6" t="s">
        <v>866</v>
      </c>
      <c r="F924" t="str">
        <f>IF(COUNTIFS('[1]25 November'!$E:$E,$D924)&gt;0, "NEW FINDING", IF(COUNTIFS('[1]20 September New Socket'!E:E,$D924)&gt;0,"PREVOUS REPORT","N/A"))</f>
        <v>NEW FINDING</v>
      </c>
    </row>
    <row r="925" spans="1:6" x14ac:dyDescent="0.2">
      <c r="A925" s="1">
        <v>45986</v>
      </c>
      <c r="B925" s="4" t="s">
        <v>981</v>
      </c>
      <c r="C925" s="5"/>
      <c r="D925" s="6" t="s">
        <v>980</v>
      </c>
      <c r="E925" s="6" t="s">
        <v>868</v>
      </c>
      <c r="F925" t="str">
        <f>IF(COUNTIFS('[1]25 November'!$E:$E,$D925)&gt;0, "NEW FINDING", IF(COUNTIFS('[1]20 September New Socket'!E:E,$D925)&gt;0,"PREVOUS REPORT","N/A"))</f>
        <v>NEW FINDING</v>
      </c>
    </row>
    <row r="926" spans="1:6" x14ac:dyDescent="0.2">
      <c r="B926" s="4" t="s">
        <v>982</v>
      </c>
      <c r="C926" s="5"/>
      <c r="D926" s="6" t="s">
        <v>983</v>
      </c>
      <c r="E926" s="6" t="s">
        <v>984</v>
      </c>
      <c r="F926" t="str">
        <f>IF(COUNTIFS('[1]25 November'!$E:$E,$D926)&gt;0, "NEW FINDING", IF(COUNTIFS('[1]20 September New Socket'!E:E,$D926)&gt;0,"PREVOUS REPORT","N/A"))</f>
        <v>N/A</v>
      </c>
    </row>
    <row r="927" spans="1:6" x14ac:dyDescent="0.2">
      <c r="B927" s="4" t="s">
        <v>985</v>
      </c>
      <c r="C927" s="5"/>
      <c r="D927" s="6" t="s">
        <v>983</v>
      </c>
      <c r="E927" s="6" t="s">
        <v>879</v>
      </c>
      <c r="F927" t="str">
        <f>IF(COUNTIFS('[1]25 November'!$E:$E,$D927)&gt;0, "NEW FINDING", IF(COUNTIFS('[1]20 September New Socket'!E:E,$D927)&gt;0,"PREVOUS REPORT","N/A"))</f>
        <v>N/A</v>
      </c>
    </row>
    <row r="928" spans="1:6" x14ac:dyDescent="0.2">
      <c r="A928" s="1">
        <v>45986</v>
      </c>
      <c r="B928" s="4" t="s">
        <v>986</v>
      </c>
      <c r="C928" s="5"/>
      <c r="D928" s="6" t="s">
        <v>987</v>
      </c>
      <c r="E928" s="6" t="s">
        <v>988</v>
      </c>
      <c r="F928" t="str">
        <f>IF(COUNTIFS('[1]25 November'!$E:$E,$D928)&gt;0, "NEW FINDING", IF(COUNTIFS('[1]20 September New Socket'!E:E,$D928)&gt;0,"PREVOUS REPORT","N/A"))</f>
        <v>NEW FINDING</v>
      </c>
    </row>
    <row r="929" spans="1:6" x14ac:dyDescent="0.2">
      <c r="A929" s="1">
        <v>45986</v>
      </c>
      <c r="B929" s="4" t="s">
        <v>989</v>
      </c>
      <c r="C929" s="5"/>
      <c r="D929" s="6" t="s">
        <v>987</v>
      </c>
      <c r="E929" s="6" t="s">
        <v>990</v>
      </c>
      <c r="F929" t="str">
        <f>IF(COUNTIFS('[1]25 November'!$E:$E,$D929)&gt;0, "NEW FINDING", IF(COUNTIFS('[1]20 September New Socket'!E:E,$D929)&gt;0,"PREVOUS REPORT","N/A"))</f>
        <v>NEW FINDING</v>
      </c>
    </row>
    <row r="930" spans="1:6" x14ac:dyDescent="0.2">
      <c r="B930" s="4" t="s">
        <v>991</v>
      </c>
      <c r="C930" s="5"/>
      <c r="D930" s="6" t="s">
        <v>992</v>
      </c>
      <c r="E930" s="6" t="s">
        <v>868</v>
      </c>
      <c r="F930" t="str">
        <f>IF(COUNTIFS('[1]25 November'!$E:$E,$D930)&gt;0, "NEW FINDING", IF(COUNTIFS('[1]20 September New Socket'!E:E,$D930)&gt;0,"PREVOUS REPORT","N/A"))</f>
        <v>N/A</v>
      </c>
    </row>
    <row r="931" spans="1:6" x14ac:dyDescent="0.2">
      <c r="B931" s="4" t="s">
        <v>993</v>
      </c>
      <c r="C931" s="5"/>
      <c r="D931" s="6" t="s">
        <v>992</v>
      </c>
      <c r="E931" s="6" t="s">
        <v>913</v>
      </c>
      <c r="F931" t="str">
        <f>IF(COUNTIFS('[1]25 November'!$E:$E,$D931)&gt;0, "NEW FINDING", IF(COUNTIFS('[1]20 September New Socket'!E:E,$D931)&gt;0,"PREVOUS REPORT","N/A"))</f>
        <v>N/A</v>
      </c>
    </row>
    <row r="932" spans="1:6" x14ac:dyDescent="0.2">
      <c r="A932" s="1">
        <v>45986</v>
      </c>
      <c r="B932" s="4" t="s">
        <v>994</v>
      </c>
      <c r="C932" s="5"/>
      <c r="D932" s="6" t="s">
        <v>995</v>
      </c>
      <c r="E932" s="6" t="s">
        <v>866</v>
      </c>
      <c r="F932" t="str">
        <f>IF(COUNTIFS('[1]25 November'!$E:$E,$D932)&gt;0, "NEW FINDING", IF(COUNTIFS('[1]20 September New Socket'!E:E,$D932)&gt;0,"PREVOUS REPORT","N/A"))</f>
        <v>NEW FINDING</v>
      </c>
    </row>
    <row r="933" spans="1:6" x14ac:dyDescent="0.2">
      <c r="A933" s="1">
        <v>45986</v>
      </c>
      <c r="B933" s="4" t="s">
        <v>996</v>
      </c>
      <c r="C933" s="5"/>
      <c r="D933" s="6" t="s">
        <v>995</v>
      </c>
      <c r="E933" s="6" t="s">
        <v>868</v>
      </c>
      <c r="F933" t="str">
        <f>IF(COUNTIFS('[1]25 November'!$E:$E,$D933)&gt;0, "NEW FINDING", IF(COUNTIFS('[1]20 September New Socket'!E:E,$D933)&gt;0,"PREVOUS REPORT","N/A"))</f>
        <v>NEW FINDING</v>
      </c>
    </row>
    <row r="934" spans="1:6" x14ac:dyDescent="0.2">
      <c r="A934" s="1">
        <v>45986</v>
      </c>
      <c r="B934" s="4" t="s">
        <v>997</v>
      </c>
      <c r="C934" s="5"/>
      <c r="D934" s="6" t="s">
        <v>998</v>
      </c>
      <c r="E934" s="6" t="s">
        <v>866</v>
      </c>
      <c r="F934" t="str">
        <f>IF(COUNTIFS('[1]25 November'!$E:$E,$D934)&gt;0, "NEW FINDING", IF(COUNTIFS('[1]20 September New Socket'!E:E,$D934)&gt;0,"PREVOUS REPORT","N/A"))</f>
        <v>NEW FINDING</v>
      </c>
    </row>
    <row r="935" spans="1:6" x14ac:dyDescent="0.2">
      <c r="A935" s="1">
        <v>45986</v>
      </c>
      <c r="B935" s="4" t="s">
        <v>999</v>
      </c>
      <c r="C935" s="5"/>
      <c r="D935" s="6" t="s">
        <v>998</v>
      </c>
      <c r="E935" s="6" t="s">
        <v>868</v>
      </c>
      <c r="F935" t="str">
        <f>IF(COUNTIFS('[1]25 November'!$E:$E,$D935)&gt;0, "NEW FINDING", IF(COUNTIFS('[1]20 September New Socket'!E:E,$D935)&gt;0,"PREVOUS REPORT","N/A"))</f>
        <v>NEW FINDING</v>
      </c>
    </row>
    <row r="936" spans="1:6" x14ac:dyDescent="0.2">
      <c r="A936" s="1">
        <v>45986</v>
      </c>
      <c r="B936" s="4" t="s">
        <v>1000</v>
      </c>
      <c r="C936" s="5"/>
      <c r="D936" s="6" t="s">
        <v>1001</v>
      </c>
      <c r="E936" s="6" t="s">
        <v>909</v>
      </c>
      <c r="F936" t="str">
        <f>IF(COUNTIFS('[1]25 November'!$E:$E,$D936)&gt;0, "NEW FINDING", IF(COUNTIFS('[1]20 September New Socket'!E:E,$D936)&gt;0,"PREVOUS REPORT","N/A"))</f>
        <v>NEW FINDING</v>
      </c>
    </row>
    <row r="937" spans="1:6" x14ac:dyDescent="0.2">
      <c r="A937" s="1">
        <v>45986</v>
      </c>
      <c r="B937" s="4" t="s">
        <v>1002</v>
      </c>
      <c r="C937" s="5"/>
      <c r="D937" s="6" t="s">
        <v>1001</v>
      </c>
      <c r="E937" s="6" t="s">
        <v>874</v>
      </c>
      <c r="F937" t="str">
        <f>IF(COUNTIFS('[1]25 November'!$E:$E,$D937)&gt;0, "NEW FINDING", IF(COUNTIFS('[1]20 September New Socket'!E:E,$D937)&gt;0,"PREVOUS REPORT","N/A"))</f>
        <v>NEW FINDING</v>
      </c>
    </row>
    <row r="938" spans="1:6" x14ac:dyDescent="0.2">
      <c r="A938" s="1">
        <v>45986</v>
      </c>
      <c r="B938" s="4" t="s">
        <v>1003</v>
      </c>
      <c r="C938" s="5"/>
      <c r="D938" s="6" t="s">
        <v>1004</v>
      </c>
      <c r="E938" s="6" t="s">
        <v>1005</v>
      </c>
      <c r="F938" t="str">
        <f>IF(COUNTIFS('[1]25 November'!$E:$E,$D938)&gt;0, "NEW FINDING", IF(COUNTIFS('[1]20 September New Socket'!E:E,$D938)&gt;0,"PREVOUS REPORT","N/A"))</f>
        <v>NEW FINDING</v>
      </c>
    </row>
    <row r="939" spans="1:6" x14ac:dyDescent="0.2">
      <c r="A939" s="1">
        <v>45986</v>
      </c>
      <c r="B939" s="4" t="s">
        <v>1006</v>
      </c>
      <c r="C939" s="5"/>
      <c r="D939" s="6" t="s">
        <v>1004</v>
      </c>
      <c r="E939" s="6" t="s">
        <v>966</v>
      </c>
      <c r="F939" t="str">
        <f>IF(COUNTIFS('[1]25 November'!$E:$E,$D939)&gt;0, "NEW FINDING", IF(COUNTIFS('[1]20 September New Socket'!E:E,$D939)&gt;0,"PREVOUS REPORT","N/A"))</f>
        <v>NEW FINDING</v>
      </c>
    </row>
    <row r="940" spans="1:6" x14ac:dyDescent="0.2">
      <c r="B940" s="4" t="s">
        <v>1007</v>
      </c>
      <c r="C940" s="5"/>
      <c r="D940" s="6" t="s">
        <v>1008</v>
      </c>
      <c r="E940" s="6" t="s">
        <v>1009</v>
      </c>
      <c r="F940" t="str">
        <f>IF(COUNTIFS('[1]25 November'!$E:$E,$D940)&gt;0, "NEW FINDING", IF(COUNTIFS('[1]20 September New Socket'!E:E,$D940)&gt;0,"PREVOUS REPORT","N/A"))</f>
        <v>N/A</v>
      </c>
    </row>
    <row r="941" spans="1:6" x14ac:dyDescent="0.2">
      <c r="B941" s="4" t="s">
        <v>1010</v>
      </c>
      <c r="C941" s="5"/>
      <c r="D941" s="6" t="s">
        <v>1008</v>
      </c>
      <c r="E941" s="6" t="s">
        <v>1011</v>
      </c>
      <c r="F941" t="str">
        <f>IF(COUNTIFS('[1]25 November'!$E:$E,$D941)&gt;0, "NEW FINDING", IF(COUNTIFS('[1]20 September New Socket'!E:E,$D941)&gt;0,"PREVOUS REPORT","N/A"))</f>
        <v>N/A</v>
      </c>
    </row>
    <row r="942" spans="1:6" x14ac:dyDescent="0.2">
      <c r="B942" s="4" t="s">
        <v>1012</v>
      </c>
      <c r="C942" s="5"/>
      <c r="D942" s="6" t="s">
        <v>1013</v>
      </c>
      <c r="E942" s="6" t="s">
        <v>866</v>
      </c>
      <c r="F942" t="str">
        <f>IF(COUNTIFS('[1]25 November'!$E:$E,$D942)&gt;0, "NEW FINDING", IF(COUNTIFS('[1]20 September New Socket'!E:E,$D942)&gt;0,"PREVOUS REPORT","N/A"))</f>
        <v>N/A</v>
      </c>
    </row>
    <row r="943" spans="1:6" x14ac:dyDescent="0.2">
      <c r="B943" s="4" t="s">
        <v>1014</v>
      </c>
      <c r="C943" s="5"/>
      <c r="D943" s="6" t="s">
        <v>1013</v>
      </c>
      <c r="E943" s="6" t="s">
        <v>868</v>
      </c>
      <c r="F943" t="str">
        <f>IF(COUNTIFS('[1]25 November'!$E:$E,$D943)&gt;0, "NEW FINDING", IF(COUNTIFS('[1]20 September New Socket'!E:E,$D943)&gt;0,"PREVOUS REPORT","N/A"))</f>
        <v>N/A</v>
      </c>
    </row>
    <row r="944" spans="1:6" x14ac:dyDescent="0.2">
      <c r="A944" s="1">
        <v>45986</v>
      </c>
      <c r="B944" s="4" t="s">
        <v>1015</v>
      </c>
      <c r="C944" s="5"/>
      <c r="D944" s="6" t="s">
        <v>1016</v>
      </c>
      <c r="E944" s="6" t="s">
        <v>984</v>
      </c>
      <c r="F944" t="str">
        <f>IF(COUNTIFS('[1]25 November'!$E:$E,$D944)&gt;0, "NEW FINDING", IF(COUNTIFS('[1]20 September New Socket'!E:E,$D944)&gt;0,"PREVOUS REPORT","N/A"))</f>
        <v>NEW FINDING</v>
      </c>
    </row>
    <row r="945" spans="1:6" x14ac:dyDescent="0.2">
      <c r="A945" s="1">
        <v>45986</v>
      </c>
      <c r="B945" s="4" t="s">
        <v>1017</v>
      </c>
      <c r="C945" s="5"/>
      <c r="D945" s="6" t="s">
        <v>1016</v>
      </c>
      <c r="E945" s="6" t="s">
        <v>879</v>
      </c>
      <c r="F945" t="str">
        <f>IF(COUNTIFS('[1]25 November'!$E:$E,$D945)&gt;0, "NEW FINDING", IF(COUNTIFS('[1]20 September New Socket'!E:E,$D945)&gt;0,"PREVOUS REPORT","N/A"))</f>
        <v>NEW FINDING</v>
      </c>
    </row>
    <row r="946" spans="1:6" x14ac:dyDescent="0.2">
      <c r="A946" s="1">
        <v>45986</v>
      </c>
      <c r="B946" s="4" t="s">
        <v>1018</v>
      </c>
      <c r="C946" s="5"/>
      <c r="D946" s="6" t="s">
        <v>1019</v>
      </c>
      <c r="E946" s="6" t="s">
        <v>1020</v>
      </c>
      <c r="F946" t="str">
        <f>IF(COUNTIFS('[1]25 November'!$E:$E,$D946)&gt;0, "NEW FINDING", IF(COUNTIFS('[1]20 September New Socket'!E:E,$D946)&gt;0,"PREVOUS REPORT","N/A"))</f>
        <v>NEW FINDING</v>
      </c>
    </row>
    <row r="947" spans="1:6" x14ac:dyDescent="0.2">
      <c r="A947" s="1">
        <v>45986</v>
      </c>
      <c r="B947" s="4" t="s">
        <v>1021</v>
      </c>
      <c r="C947" s="5"/>
      <c r="D947" s="6" t="s">
        <v>1019</v>
      </c>
      <c r="E947" s="6" t="s">
        <v>1022</v>
      </c>
      <c r="F947" t="str">
        <f>IF(COUNTIFS('[1]25 November'!$E:$E,$D947)&gt;0, "NEW FINDING", IF(COUNTIFS('[1]20 September New Socket'!E:E,$D947)&gt;0,"PREVOUS REPORT","N/A"))</f>
        <v>NEW FINDING</v>
      </c>
    </row>
    <row r="948" spans="1:6" x14ac:dyDescent="0.2">
      <c r="A948" s="1">
        <v>45986</v>
      </c>
      <c r="B948" s="4" t="s">
        <v>1023</v>
      </c>
      <c r="C948" s="5"/>
      <c r="D948" s="6" t="s">
        <v>1024</v>
      </c>
      <c r="E948" s="6" t="s">
        <v>1025</v>
      </c>
      <c r="F948" t="str">
        <f>IF(COUNTIFS('[1]25 November'!$E:$E,$D948)&gt;0, "NEW FINDING", IF(COUNTIFS('[1]20 September New Socket'!E:E,$D948)&gt;0,"PREVOUS REPORT","N/A"))</f>
        <v>NEW FINDING</v>
      </c>
    </row>
    <row r="949" spans="1:6" x14ac:dyDescent="0.2">
      <c r="A949" s="1">
        <v>45986</v>
      </c>
      <c r="B949" s="4" t="s">
        <v>1026</v>
      </c>
      <c r="C949" s="5"/>
      <c r="D949" s="6" t="s">
        <v>1024</v>
      </c>
      <c r="E949" s="6" t="s">
        <v>1027</v>
      </c>
      <c r="F949" t="str">
        <f>IF(COUNTIFS('[1]25 November'!$E:$E,$D949)&gt;0, "NEW FINDING", IF(COUNTIFS('[1]20 September New Socket'!E:E,$D949)&gt;0,"PREVOUS REPORT","N/A"))</f>
        <v>NEW FINDING</v>
      </c>
    </row>
    <row r="950" spans="1:6" x14ac:dyDescent="0.2">
      <c r="A950" s="1">
        <v>45986</v>
      </c>
      <c r="B950" s="4" t="s">
        <v>1028</v>
      </c>
      <c r="C950" s="5"/>
      <c r="D950" s="6" t="s">
        <v>1029</v>
      </c>
      <c r="E950" s="6" t="s">
        <v>1030</v>
      </c>
      <c r="F950" t="str">
        <f>IF(COUNTIFS('[1]25 November'!$E:$E,$D950)&gt;0, "NEW FINDING", IF(COUNTIFS('[1]20 September New Socket'!E:E,$D950)&gt;0,"PREVOUS REPORT","N/A"))</f>
        <v>NEW FINDING</v>
      </c>
    </row>
    <row r="951" spans="1:6" x14ac:dyDescent="0.2">
      <c r="A951" s="1">
        <v>45986</v>
      </c>
      <c r="B951" s="4" t="s">
        <v>1031</v>
      </c>
      <c r="C951" s="5"/>
      <c r="D951" s="6" t="s">
        <v>1029</v>
      </c>
      <c r="E951" s="6" t="s">
        <v>1032</v>
      </c>
      <c r="F951" t="str">
        <f>IF(COUNTIFS('[1]25 November'!$E:$E,$D951)&gt;0, "NEW FINDING", IF(COUNTIFS('[1]20 September New Socket'!E:E,$D951)&gt;0,"PREVOUS REPORT","N/A"))</f>
        <v>NEW FINDING</v>
      </c>
    </row>
    <row r="952" spans="1:6" x14ac:dyDescent="0.2">
      <c r="A952" s="1">
        <v>45986</v>
      </c>
      <c r="B952" s="4" t="s">
        <v>1033</v>
      </c>
      <c r="C952" s="5"/>
      <c r="D952" s="6" t="s">
        <v>1034</v>
      </c>
      <c r="E952" s="6" t="s">
        <v>868</v>
      </c>
      <c r="F952" t="str">
        <f>IF(COUNTIFS('[1]25 November'!$E:$E,$D952)&gt;0, "NEW FINDING", IF(COUNTIFS('[1]20 September New Socket'!E:E,$D952)&gt;0,"PREVOUS REPORT","N/A"))</f>
        <v>NEW FINDING</v>
      </c>
    </row>
    <row r="953" spans="1:6" x14ac:dyDescent="0.2">
      <c r="A953" s="1">
        <v>45986</v>
      </c>
      <c r="B953" s="4" t="s">
        <v>1035</v>
      </c>
      <c r="C953" s="5"/>
      <c r="D953" s="6" t="s">
        <v>1034</v>
      </c>
      <c r="E953" s="6" t="s">
        <v>913</v>
      </c>
      <c r="F953" t="str">
        <f>IF(COUNTIFS('[1]25 November'!$E:$E,$D953)&gt;0, "NEW FINDING", IF(COUNTIFS('[1]20 September New Socket'!E:E,$D953)&gt;0,"PREVOUS REPORT","N/A"))</f>
        <v>NEW FINDING</v>
      </c>
    </row>
    <row r="954" spans="1:6" x14ac:dyDescent="0.2">
      <c r="B954" s="4" t="s">
        <v>1036</v>
      </c>
      <c r="C954" s="5"/>
      <c r="D954" s="6" t="s">
        <v>1037</v>
      </c>
      <c r="E954" s="6" t="s">
        <v>907</v>
      </c>
      <c r="F954" t="str">
        <f>IF(COUNTIFS('[1]25 November'!$E:$E,$D954)&gt;0, "NEW FINDING", IF(COUNTIFS('[1]20 September New Socket'!E:E,$D954)&gt;0,"PREVOUS REPORT","N/A"))</f>
        <v>N/A</v>
      </c>
    </row>
    <row r="955" spans="1:6" x14ac:dyDescent="0.2">
      <c r="B955" s="4" t="s">
        <v>1038</v>
      </c>
      <c r="C955" s="5"/>
      <c r="D955" s="6" t="s">
        <v>1037</v>
      </c>
      <c r="E955" s="6" t="s">
        <v>909</v>
      </c>
      <c r="F955" t="str">
        <f>IF(COUNTIFS('[1]25 November'!$E:$E,$D955)&gt;0, "NEW FINDING", IF(COUNTIFS('[1]20 September New Socket'!E:E,$D955)&gt;0,"PREVOUS REPORT","N/A"))</f>
        <v>N/A</v>
      </c>
    </row>
    <row r="956" spans="1:6" x14ac:dyDescent="0.2">
      <c r="B956" s="4" t="s">
        <v>1039</v>
      </c>
      <c r="C956" s="5"/>
      <c r="D956" s="6" t="s">
        <v>1040</v>
      </c>
      <c r="E956" s="6" t="s">
        <v>915</v>
      </c>
      <c r="F956" t="str">
        <f>IF(COUNTIFS('[1]25 November'!$E:$E,$D956)&gt;0, "NEW FINDING", IF(COUNTIFS('[1]20 September New Socket'!E:E,$D956)&gt;0,"PREVOUS REPORT","N/A"))</f>
        <v>N/A</v>
      </c>
    </row>
    <row r="957" spans="1:6" x14ac:dyDescent="0.2">
      <c r="B957" s="4" t="s">
        <v>1041</v>
      </c>
      <c r="C957" s="5"/>
      <c r="D957" s="6" t="s">
        <v>1040</v>
      </c>
      <c r="E957" s="6" t="s">
        <v>917</v>
      </c>
      <c r="F957" t="str">
        <f>IF(COUNTIFS('[1]25 November'!$E:$E,$D957)&gt;0, "NEW FINDING", IF(COUNTIFS('[1]20 September New Socket'!E:E,$D957)&gt;0,"PREVOUS REPORT","N/A"))</f>
        <v>N/A</v>
      </c>
    </row>
    <row r="958" spans="1:6" x14ac:dyDescent="0.2">
      <c r="A958" s="1">
        <v>45986</v>
      </c>
      <c r="B958" s="4" t="s">
        <v>1042</v>
      </c>
      <c r="C958" s="5"/>
      <c r="D958" s="6" t="s">
        <v>1043</v>
      </c>
      <c r="E958" s="6" t="s">
        <v>1020</v>
      </c>
      <c r="F958" t="str">
        <f>IF(COUNTIFS('[1]25 November'!$E:$E,$D958)&gt;0, "NEW FINDING", IF(COUNTIFS('[1]20 September New Socket'!E:E,$D958)&gt;0,"PREVOUS REPORT","N/A"))</f>
        <v>NEW FINDING</v>
      </c>
    </row>
    <row r="959" spans="1:6" x14ac:dyDescent="0.2">
      <c r="A959" s="1">
        <v>45986</v>
      </c>
      <c r="B959" s="4" t="s">
        <v>1044</v>
      </c>
      <c r="C959" s="5"/>
      <c r="D959" s="6" t="s">
        <v>1043</v>
      </c>
      <c r="E959" s="6" t="s">
        <v>1022</v>
      </c>
      <c r="F959" t="str">
        <f>IF(COUNTIFS('[1]25 November'!$E:$E,$D959)&gt;0, "NEW FINDING", IF(COUNTIFS('[1]20 September New Socket'!E:E,$D959)&gt;0,"PREVOUS REPORT","N/A"))</f>
        <v>NEW FINDING</v>
      </c>
    </row>
    <row r="960" spans="1:6" x14ac:dyDescent="0.2">
      <c r="A960" s="1">
        <v>45986</v>
      </c>
      <c r="B960" s="4" t="s">
        <v>1045</v>
      </c>
      <c r="C960" s="5"/>
      <c r="D960" s="6" t="s">
        <v>1043</v>
      </c>
      <c r="E960" s="6" t="s">
        <v>1046</v>
      </c>
      <c r="F960" t="str">
        <f>IF(COUNTIFS('[1]25 November'!$E:$E,$D960)&gt;0, "NEW FINDING", IF(COUNTIFS('[1]20 September New Socket'!E:E,$D960)&gt;0,"PREVOUS REPORT","N/A"))</f>
        <v>NEW FINDING</v>
      </c>
    </row>
    <row r="961" spans="1:6" x14ac:dyDescent="0.2">
      <c r="A961" s="1">
        <v>45986</v>
      </c>
      <c r="B961" s="4" t="s">
        <v>1047</v>
      </c>
      <c r="C961" s="5"/>
      <c r="D961" s="6" t="s">
        <v>1043</v>
      </c>
      <c r="E961" s="6" t="s">
        <v>1048</v>
      </c>
      <c r="F961" t="str">
        <f>IF(COUNTIFS('[1]25 November'!$E:$E,$D961)&gt;0, "NEW FINDING", IF(COUNTIFS('[1]20 September New Socket'!E:E,$D961)&gt;0,"PREVOUS REPORT","N/A"))</f>
        <v>NEW FINDING</v>
      </c>
    </row>
    <row r="962" spans="1:6" x14ac:dyDescent="0.2">
      <c r="A962" s="1">
        <v>45986</v>
      </c>
      <c r="B962" s="4" t="s">
        <v>1049</v>
      </c>
      <c r="C962" s="5"/>
      <c r="D962" s="6" t="s">
        <v>1050</v>
      </c>
      <c r="E962" s="6" t="s">
        <v>868</v>
      </c>
      <c r="F962" t="str">
        <f>IF(COUNTIFS('[1]25 November'!$E:$E,$D962)&gt;0, "NEW FINDING", IF(COUNTIFS('[1]20 September New Socket'!E:E,$D962)&gt;0,"PREVOUS REPORT","N/A"))</f>
        <v>NEW FINDING</v>
      </c>
    </row>
    <row r="963" spans="1:6" x14ac:dyDescent="0.2">
      <c r="A963" s="1">
        <v>45986</v>
      </c>
      <c r="B963" s="4" t="s">
        <v>1051</v>
      </c>
      <c r="C963" s="5"/>
      <c r="D963" s="6" t="s">
        <v>1050</v>
      </c>
      <c r="E963" s="6" t="s">
        <v>913</v>
      </c>
      <c r="F963" t="str">
        <f>IF(COUNTIFS('[1]25 November'!$E:$E,$D963)&gt;0, "NEW FINDING", IF(COUNTIFS('[1]20 September New Socket'!E:E,$D963)&gt;0,"PREVOUS REPORT","N/A"))</f>
        <v>NEW FINDING</v>
      </c>
    </row>
    <row r="964" spans="1:6" x14ac:dyDescent="0.2">
      <c r="A964" s="1">
        <v>45986</v>
      </c>
      <c r="B964" s="4" t="s">
        <v>1052</v>
      </c>
      <c r="C964" s="5"/>
      <c r="D964" s="6" t="s">
        <v>1053</v>
      </c>
      <c r="E964" s="6" t="s">
        <v>909</v>
      </c>
      <c r="F964" t="str">
        <f>IF(COUNTIFS('[1]25 November'!$E:$E,$D964)&gt;0, "NEW FINDING", IF(COUNTIFS('[1]20 September New Socket'!E:E,$D964)&gt;0,"PREVOUS REPORT","N/A"))</f>
        <v>NEW FINDING</v>
      </c>
    </row>
    <row r="965" spans="1:6" x14ac:dyDescent="0.2">
      <c r="A965" s="1">
        <v>45986</v>
      </c>
      <c r="B965" s="4" t="s">
        <v>1054</v>
      </c>
      <c r="C965" s="5"/>
      <c r="D965" s="6" t="s">
        <v>1053</v>
      </c>
      <c r="E965" s="6" t="s">
        <v>1055</v>
      </c>
      <c r="F965" t="str">
        <f>IF(COUNTIFS('[1]25 November'!$E:$E,$D965)&gt;0, "NEW FINDING", IF(COUNTIFS('[1]20 September New Socket'!E:E,$D965)&gt;0,"PREVOUS REPORT","N/A"))</f>
        <v>NEW FINDING</v>
      </c>
    </row>
    <row r="966" spans="1:6" x14ac:dyDescent="0.2">
      <c r="A966" s="1">
        <v>45986</v>
      </c>
      <c r="B966" s="4" t="s">
        <v>1056</v>
      </c>
      <c r="C966" s="5"/>
      <c r="D966" s="6" t="s">
        <v>1053</v>
      </c>
      <c r="E966" s="6" t="s">
        <v>874</v>
      </c>
      <c r="F966" t="str">
        <f>IF(COUNTIFS('[1]25 November'!$E:$E,$D966)&gt;0, "NEW FINDING", IF(COUNTIFS('[1]20 September New Socket'!E:E,$D966)&gt;0,"PREVOUS REPORT","N/A"))</f>
        <v>NEW FINDING</v>
      </c>
    </row>
    <row r="967" spans="1:6" x14ac:dyDescent="0.2">
      <c r="A967" s="1">
        <v>45986</v>
      </c>
      <c r="B967" s="4" t="s">
        <v>1057</v>
      </c>
      <c r="C967" s="5"/>
      <c r="D967" s="6" t="s">
        <v>1058</v>
      </c>
      <c r="E967" s="6" t="s">
        <v>913</v>
      </c>
      <c r="F967" t="str">
        <f>IF(COUNTIFS('[1]25 November'!$E:$E,$D967)&gt;0, "NEW FINDING", IF(COUNTIFS('[1]20 September New Socket'!E:E,$D967)&gt;0,"PREVOUS REPORT","N/A"))</f>
        <v>NEW FINDING</v>
      </c>
    </row>
    <row r="968" spans="1:6" x14ac:dyDescent="0.2">
      <c r="A968" s="1">
        <v>45986</v>
      </c>
      <c r="B968" s="4" t="s">
        <v>1059</v>
      </c>
      <c r="C968" s="5"/>
      <c r="D968" s="6" t="s">
        <v>1058</v>
      </c>
      <c r="E968" s="6" t="s">
        <v>915</v>
      </c>
      <c r="F968" t="str">
        <f>IF(COUNTIFS('[1]25 November'!$E:$E,$D968)&gt;0, "NEW FINDING", IF(COUNTIFS('[1]20 September New Socket'!E:E,$D968)&gt;0,"PREVOUS REPORT","N/A"))</f>
        <v>NEW FINDING</v>
      </c>
    </row>
    <row r="969" spans="1:6" x14ac:dyDescent="0.2">
      <c r="A969" s="1">
        <v>45986</v>
      </c>
      <c r="B969" s="4" t="s">
        <v>1060</v>
      </c>
      <c r="C969" s="5"/>
      <c r="D969" s="6" t="s">
        <v>1061</v>
      </c>
      <c r="E969" s="6" t="s">
        <v>1062</v>
      </c>
      <c r="F969" t="str">
        <f>IF(COUNTIFS('[1]25 November'!$E:$E,$D969)&gt;0, "NEW FINDING", IF(COUNTIFS('[1]20 September New Socket'!E:E,$D969)&gt;0,"PREVOUS REPORT","N/A"))</f>
        <v>NEW FINDING</v>
      </c>
    </row>
    <row r="970" spans="1:6" x14ac:dyDescent="0.2">
      <c r="A970" s="1">
        <v>45986</v>
      </c>
      <c r="B970" s="4" t="s">
        <v>1063</v>
      </c>
      <c r="C970" s="5"/>
      <c r="D970" s="6" t="s">
        <v>1061</v>
      </c>
      <c r="E970" s="6" t="s">
        <v>1064</v>
      </c>
      <c r="F970" t="str">
        <f>IF(COUNTIFS('[1]25 November'!$E:$E,$D970)&gt;0, "NEW FINDING", IF(COUNTIFS('[1]20 September New Socket'!E:E,$D970)&gt;0,"PREVOUS REPORT","N/A"))</f>
        <v>NEW FINDING</v>
      </c>
    </row>
    <row r="971" spans="1:6" x14ac:dyDescent="0.2">
      <c r="A971" s="1">
        <v>45986</v>
      </c>
      <c r="B971" s="4" t="s">
        <v>1065</v>
      </c>
      <c r="C971" s="5"/>
      <c r="D971" s="6" t="s">
        <v>1061</v>
      </c>
      <c r="E971" s="6" t="s">
        <v>1066</v>
      </c>
      <c r="F971" t="str">
        <f>IF(COUNTIFS('[1]25 November'!$E:$E,$D971)&gt;0, "NEW FINDING", IF(COUNTIFS('[1]20 September New Socket'!E:E,$D971)&gt;0,"PREVOUS REPORT","N/A"))</f>
        <v>NEW FINDING</v>
      </c>
    </row>
    <row r="972" spans="1:6" x14ac:dyDescent="0.2">
      <c r="A972" s="1">
        <v>45986</v>
      </c>
      <c r="B972" s="4" t="s">
        <v>1067</v>
      </c>
      <c r="C972" s="5"/>
      <c r="D972" s="6" t="s">
        <v>1068</v>
      </c>
      <c r="E972" s="6" t="s">
        <v>1069</v>
      </c>
      <c r="F972" t="str">
        <f>IF(COUNTIFS('[1]25 November'!$E:$E,$D972)&gt;0, "NEW FINDING", IF(COUNTIFS('[1]20 September New Socket'!E:E,$D972)&gt;0,"PREVOUS REPORT","N/A"))</f>
        <v>NEW FINDING</v>
      </c>
    </row>
    <row r="973" spans="1:6" x14ac:dyDescent="0.2">
      <c r="A973" s="1">
        <v>45986</v>
      </c>
      <c r="B973" s="4" t="s">
        <v>1070</v>
      </c>
      <c r="C973" s="5"/>
      <c r="D973" s="6" t="s">
        <v>1068</v>
      </c>
      <c r="E973" s="6" t="s">
        <v>1071</v>
      </c>
      <c r="F973" t="str">
        <f>IF(COUNTIFS('[1]25 November'!$E:$E,$D973)&gt;0, "NEW FINDING", IF(COUNTIFS('[1]20 September New Socket'!E:E,$D973)&gt;0,"PREVOUS REPORT","N/A"))</f>
        <v>NEW FINDING</v>
      </c>
    </row>
    <row r="974" spans="1:6" x14ac:dyDescent="0.2">
      <c r="A974" s="1">
        <v>45986</v>
      </c>
      <c r="B974" s="4" t="s">
        <v>1072</v>
      </c>
      <c r="C974" s="5"/>
      <c r="D974" s="6" t="s">
        <v>1073</v>
      </c>
      <c r="E974" s="6" t="s">
        <v>977</v>
      </c>
      <c r="F974" t="str">
        <f>IF(COUNTIFS('[1]25 November'!$E:$E,$D974)&gt;0, "NEW FINDING", IF(COUNTIFS('[1]20 September New Socket'!E:E,$D974)&gt;0,"PREVOUS REPORT","N/A"))</f>
        <v>NEW FINDING</v>
      </c>
    </row>
    <row r="975" spans="1:6" x14ac:dyDescent="0.2">
      <c r="A975" s="1">
        <v>45986</v>
      </c>
      <c r="B975" s="4" t="s">
        <v>1074</v>
      </c>
      <c r="C975" s="5"/>
      <c r="D975" s="6" t="s">
        <v>1073</v>
      </c>
      <c r="E975" s="6" t="s">
        <v>888</v>
      </c>
      <c r="F975" t="str">
        <f>IF(COUNTIFS('[1]25 November'!$E:$E,$D975)&gt;0, "NEW FINDING", IF(COUNTIFS('[1]20 September New Socket'!E:E,$D975)&gt;0,"PREVOUS REPORT","N/A"))</f>
        <v>NEW FINDING</v>
      </c>
    </row>
    <row r="976" spans="1:6" x14ac:dyDescent="0.2">
      <c r="B976" s="4" t="s">
        <v>1075</v>
      </c>
      <c r="C976" s="5"/>
      <c r="D976" s="6" t="s">
        <v>1076</v>
      </c>
      <c r="E976" s="6" t="s">
        <v>1077</v>
      </c>
      <c r="F976" t="str">
        <f>IF(COUNTIFS('[1]25 November'!$E:$E,$D976)&gt;0, "NEW FINDING", IF(COUNTIFS('[1]20 September New Socket'!E:E,$D976)&gt;0,"PREVOUS REPORT","N/A"))</f>
        <v>N/A</v>
      </c>
    </row>
    <row r="977" spans="1:6" x14ac:dyDescent="0.2">
      <c r="B977" s="4" t="s">
        <v>1078</v>
      </c>
      <c r="C977" s="5"/>
      <c r="D977" s="6" t="s">
        <v>1076</v>
      </c>
      <c r="E977" s="6" t="s">
        <v>1079</v>
      </c>
      <c r="F977" t="str">
        <f>IF(COUNTIFS('[1]25 November'!$E:$E,$D977)&gt;0, "NEW FINDING", IF(COUNTIFS('[1]20 September New Socket'!E:E,$D977)&gt;0,"PREVOUS REPORT","N/A"))</f>
        <v>N/A</v>
      </c>
    </row>
    <row r="978" spans="1:6" x14ac:dyDescent="0.2">
      <c r="A978" s="1">
        <v>45986</v>
      </c>
      <c r="B978" s="4" t="s">
        <v>1080</v>
      </c>
      <c r="C978" s="5"/>
      <c r="D978" s="6" t="s">
        <v>1081</v>
      </c>
      <c r="E978" s="6" t="s">
        <v>866</v>
      </c>
      <c r="F978" t="str">
        <f>IF(COUNTIFS('[1]25 November'!$E:$E,$D978)&gt;0, "NEW FINDING", IF(COUNTIFS('[1]20 September New Socket'!E:E,$D978)&gt;0,"PREVOUS REPORT","N/A"))</f>
        <v>NEW FINDING</v>
      </c>
    </row>
    <row r="979" spans="1:6" x14ac:dyDescent="0.2">
      <c r="A979" s="1">
        <v>45986</v>
      </c>
      <c r="B979" s="4" t="s">
        <v>1082</v>
      </c>
      <c r="C979" s="5"/>
      <c r="D979" s="6" t="s">
        <v>1081</v>
      </c>
      <c r="E979" s="6" t="s">
        <v>868</v>
      </c>
      <c r="F979" t="str">
        <f>IF(COUNTIFS('[1]25 November'!$E:$E,$D979)&gt;0, "NEW FINDING", IF(COUNTIFS('[1]20 September New Socket'!E:E,$D979)&gt;0,"PREVOUS REPORT","N/A"))</f>
        <v>NEW FINDING</v>
      </c>
    </row>
    <row r="980" spans="1:6" x14ac:dyDescent="0.2">
      <c r="A980" s="1">
        <v>45986</v>
      </c>
      <c r="B980" s="4" t="s">
        <v>1083</v>
      </c>
      <c r="C980" s="5"/>
      <c r="D980" s="6" t="s">
        <v>1084</v>
      </c>
      <c r="E980" s="6" t="s">
        <v>888</v>
      </c>
      <c r="F980" t="str">
        <f>IF(COUNTIFS('[1]25 November'!$E:$E,$D980)&gt;0, "NEW FINDING", IF(COUNTIFS('[1]20 September New Socket'!E:E,$D980)&gt;0,"PREVOUS REPORT","N/A"))</f>
        <v>NEW FINDING</v>
      </c>
    </row>
    <row r="981" spans="1:6" x14ac:dyDescent="0.2">
      <c r="A981" s="1">
        <v>45986</v>
      </c>
      <c r="B981" s="4" t="s">
        <v>1085</v>
      </c>
      <c r="C981" s="5"/>
      <c r="D981" s="6" t="s">
        <v>1084</v>
      </c>
      <c r="E981" s="6" t="s">
        <v>890</v>
      </c>
      <c r="F981" t="str">
        <f>IF(COUNTIFS('[1]25 November'!$E:$E,$D981)&gt;0, "NEW FINDING", IF(COUNTIFS('[1]20 September New Socket'!E:E,$D981)&gt;0,"PREVOUS REPORT","N/A"))</f>
        <v>NEW FINDING</v>
      </c>
    </row>
    <row r="982" spans="1:6" x14ac:dyDescent="0.2">
      <c r="B982" s="4" t="s">
        <v>1086</v>
      </c>
      <c r="C982" s="5"/>
      <c r="D982" s="6" t="s">
        <v>1087</v>
      </c>
      <c r="E982" s="6" t="s">
        <v>866</v>
      </c>
      <c r="F982" t="str">
        <f>IF(COUNTIFS('[1]25 November'!$E:$E,$D982)&gt;0, "NEW FINDING", IF(COUNTIFS('[1]20 September New Socket'!E:E,$D982)&gt;0,"PREVOUS REPORT","N/A"))</f>
        <v>N/A</v>
      </c>
    </row>
    <row r="983" spans="1:6" x14ac:dyDescent="0.2">
      <c r="B983" s="4" t="s">
        <v>1088</v>
      </c>
      <c r="C983" s="5"/>
      <c r="D983" s="6" t="s">
        <v>1087</v>
      </c>
      <c r="E983" s="6" t="s">
        <v>868</v>
      </c>
      <c r="F983" t="str">
        <f>IF(COUNTIFS('[1]25 November'!$E:$E,$D983)&gt;0, "NEW FINDING", IF(COUNTIFS('[1]20 September New Socket'!E:E,$D983)&gt;0,"PREVOUS REPORT","N/A"))</f>
        <v>N/A</v>
      </c>
    </row>
    <row r="984" spans="1:6" x14ac:dyDescent="0.2">
      <c r="A984" s="1">
        <v>45986</v>
      </c>
      <c r="B984" s="4" t="s">
        <v>1089</v>
      </c>
      <c r="C984" s="5"/>
      <c r="D984" s="6" t="s">
        <v>1090</v>
      </c>
      <c r="E984" s="6" t="s">
        <v>1020</v>
      </c>
      <c r="F984" t="str">
        <f>IF(COUNTIFS('[1]25 November'!$E:$E,$D984)&gt;0, "NEW FINDING", IF(COUNTIFS('[1]20 September New Socket'!E:E,$D984)&gt;0,"PREVOUS REPORT","N/A"))</f>
        <v>NEW FINDING</v>
      </c>
    </row>
    <row r="985" spans="1:6" x14ac:dyDescent="0.2">
      <c r="A985" s="1">
        <v>45986</v>
      </c>
      <c r="B985" s="4" t="s">
        <v>1091</v>
      </c>
      <c r="C985" s="5"/>
      <c r="D985" s="6" t="s">
        <v>1090</v>
      </c>
      <c r="E985" s="6" t="s">
        <v>1022</v>
      </c>
      <c r="F985" t="str">
        <f>IF(COUNTIFS('[1]25 November'!$E:$E,$D985)&gt;0, "NEW FINDING", IF(COUNTIFS('[1]20 September New Socket'!E:E,$D985)&gt;0,"PREVOUS REPORT","N/A"))</f>
        <v>NEW FINDING</v>
      </c>
    </row>
    <row r="986" spans="1:6" x14ac:dyDescent="0.2">
      <c r="A986" s="1">
        <v>45986</v>
      </c>
      <c r="B986" s="4" t="s">
        <v>1092</v>
      </c>
      <c r="C986" s="5"/>
      <c r="D986" s="6" t="s">
        <v>1093</v>
      </c>
      <c r="E986" s="6" t="s">
        <v>1094</v>
      </c>
      <c r="F986" t="str">
        <f>IF(COUNTIFS('[1]25 November'!$E:$E,$D986)&gt;0, "NEW FINDING", IF(COUNTIFS('[1]20 September New Socket'!E:E,$D986)&gt;0,"PREVOUS REPORT","N/A"))</f>
        <v>NEW FINDING</v>
      </c>
    </row>
    <row r="987" spans="1:6" x14ac:dyDescent="0.2">
      <c r="A987" s="1">
        <v>45986</v>
      </c>
      <c r="B987" s="4" t="s">
        <v>1095</v>
      </c>
      <c r="C987" s="5"/>
      <c r="D987" s="6" t="s">
        <v>1093</v>
      </c>
      <c r="E987" s="6" t="s">
        <v>1096</v>
      </c>
      <c r="F987" t="str">
        <f>IF(COUNTIFS('[1]25 November'!$E:$E,$D987)&gt;0, "NEW FINDING", IF(COUNTIFS('[1]20 September New Socket'!E:E,$D987)&gt;0,"PREVOUS REPORT","N/A"))</f>
        <v>NEW FINDING</v>
      </c>
    </row>
    <row r="988" spans="1:6" x14ac:dyDescent="0.2">
      <c r="A988" s="1">
        <v>45986</v>
      </c>
      <c r="B988" s="4" t="s">
        <v>1097</v>
      </c>
      <c r="C988" s="5"/>
      <c r="D988" s="6" t="s">
        <v>1098</v>
      </c>
      <c r="E988" s="6" t="s">
        <v>1099</v>
      </c>
      <c r="F988" t="str">
        <f>IF(COUNTIFS('[1]25 November'!$E:$E,$D988)&gt;0, "NEW FINDING", IF(COUNTIFS('[1]20 September New Socket'!E:E,$D988)&gt;0,"PREVOUS REPORT","N/A"))</f>
        <v>NEW FINDING</v>
      </c>
    </row>
    <row r="989" spans="1:6" x14ac:dyDescent="0.2">
      <c r="A989" s="1">
        <v>45986</v>
      </c>
      <c r="B989" s="4" t="s">
        <v>1100</v>
      </c>
      <c r="C989" s="5"/>
      <c r="D989" s="6" t="s">
        <v>1098</v>
      </c>
      <c r="E989" s="6" t="s">
        <v>1005</v>
      </c>
      <c r="F989" t="str">
        <f>IF(COUNTIFS('[1]25 November'!$E:$E,$D989)&gt;0, "NEW FINDING", IF(COUNTIFS('[1]20 September New Socket'!E:E,$D989)&gt;0,"PREVOUS REPORT","N/A"))</f>
        <v>NEW FINDING</v>
      </c>
    </row>
    <row r="990" spans="1:6" x14ac:dyDescent="0.2">
      <c r="A990" s="1">
        <v>45986</v>
      </c>
      <c r="B990" s="4" t="s">
        <v>1101</v>
      </c>
      <c r="C990" s="5"/>
      <c r="D990" s="6" t="s">
        <v>1102</v>
      </c>
      <c r="E990" s="6" t="s">
        <v>866</v>
      </c>
      <c r="F990" t="str">
        <f>IF(COUNTIFS('[1]25 November'!$E:$E,$D990)&gt;0, "NEW FINDING", IF(COUNTIFS('[1]20 September New Socket'!E:E,$D990)&gt;0,"PREVOUS REPORT","N/A"))</f>
        <v>NEW FINDING</v>
      </c>
    </row>
    <row r="991" spans="1:6" x14ac:dyDescent="0.2">
      <c r="A991" s="1">
        <v>45986</v>
      </c>
      <c r="B991" s="4" t="s">
        <v>1103</v>
      </c>
      <c r="C991" s="5"/>
      <c r="D991" s="6" t="s">
        <v>1102</v>
      </c>
      <c r="E991" s="6" t="s">
        <v>868</v>
      </c>
      <c r="F991" t="str">
        <f>IF(COUNTIFS('[1]25 November'!$E:$E,$D991)&gt;0, "NEW FINDING", IF(COUNTIFS('[1]20 September New Socket'!E:E,$D991)&gt;0,"PREVOUS REPORT","N/A"))</f>
        <v>NEW FINDING</v>
      </c>
    </row>
    <row r="992" spans="1:6" x14ac:dyDescent="0.2">
      <c r="A992" s="1">
        <v>45986</v>
      </c>
      <c r="B992" s="4" t="s">
        <v>1104</v>
      </c>
      <c r="C992" s="5"/>
      <c r="D992" s="6" t="s">
        <v>1105</v>
      </c>
      <c r="E992" s="6" t="s">
        <v>866</v>
      </c>
      <c r="F992" t="str">
        <f>IF(COUNTIFS('[1]25 November'!$E:$E,$D992)&gt;0, "NEW FINDING", IF(COUNTIFS('[1]20 September New Socket'!E:E,$D992)&gt;0,"PREVOUS REPORT","N/A"))</f>
        <v>NEW FINDING</v>
      </c>
    </row>
    <row r="993" spans="1:6" x14ac:dyDescent="0.2">
      <c r="A993" s="1">
        <v>45986</v>
      </c>
      <c r="B993" s="4" t="s">
        <v>1106</v>
      </c>
      <c r="C993" s="5"/>
      <c r="D993" s="6" t="s">
        <v>1105</v>
      </c>
      <c r="E993" s="6" t="s">
        <v>868</v>
      </c>
      <c r="F993" t="str">
        <f>IF(COUNTIFS('[1]25 November'!$E:$E,$D993)&gt;0, "NEW FINDING", IF(COUNTIFS('[1]20 September New Socket'!E:E,$D993)&gt;0,"PREVOUS REPORT","N/A"))</f>
        <v>NEW FINDING</v>
      </c>
    </row>
    <row r="994" spans="1:6" x14ac:dyDescent="0.2">
      <c r="A994" s="1">
        <v>45986</v>
      </c>
      <c r="B994" s="4" t="s">
        <v>1107</v>
      </c>
      <c r="C994" s="5"/>
      <c r="D994" s="6" t="s">
        <v>1108</v>
      </c>
      <c r="E994" s="6" t="s">
        <v>984</v>
      </c>
      <c r="F994" t="str">
        <f>IF(COUNTIFS('[1]25 November'!$E:$E,$D994)&gt;0, "NEW FINDING", IF(COUNTIFS('[1]20 September New Socket'!E:E,$D994)&gt;0,"PREVOUS REPORT","N/A"))</f>
        <v>NEW FINDING</v>
      </c>
    </row>
    <row r="995" spans="1:6" x14ac:dyDescent="0.2">
      <c r="A995" s="1">
        <v>45986</v>
      </c>
      <c r="B995" s="4" t="s">
        <v>1109</v>
      </c>
      <c r="C995" s="5"/>
      <c r="D995" s="6" t="s">
        <v>1108</v>
      </c>
      <c r="E995" s="6" t="s">
        <v>879</v>
      </c>
      <c r="F995" t="str">
        <f>IF(COUNTIFS('[1]25 November'!$E:$E,$D995)&gt;0, "NEW FINDING", IF(COUNTIFS('[1]20 September New Socket'!E:E,$D995)&gt;0,"PREVOUS REPORT","N/A"))</f>
        <v>NEW FINDING</v>
      </c>
    </row>
    <row r="996" spans="1:6" x14ac:dyDescent="0.2">
      <c r="A996" s="1">
        <v>45986</v>
      </c>
      <c r="B996" s="4" t="s">
        <v>1110</v>
      </c>
      <c r="C996" s="5"/>
      <c r="D996" s="6" t="s">
        <v>1111</v>
      </c>
      <c r="E996" s="6" t="s">
        <v>984</v>
      </c>
      <c r="F996" t="str">
        <f>IF(COUNTIFS('[1]25 November'!$E:$E,$D996)&gt;0, "NEW FINDING", IF(COUNTIFS('[1]20 September New Socket'!E:E,$D996)&gt;0,"PREVOUS REPORT","N/A"))</f>
        <v>NEW FINDING</v>
      </c>
    </row>
    <row r="997" spans="1:6" x14ac:dyDescent="0.2">
      <c r="A997" s="1">
        <v>45986</v>
      </c>
      <c r="B997" s="4" t="s">
        <v>1112</v>
      </c>
      <c r="C997" s="5"/>
      <c r="D997" s="6" t="s">
        <v>1111</v>
      </c>
      <c r="E997" s="6" t="s">
        <v>879</v>
      </c>
      <c r="F997" t="str">
        <f>IF(COUNTIFS('[1]25 November'!$E:$E,$D997)&gt;0, "NEW FINDING", IF(COUNTIFS('[1]20 September New Socket'!E:E,$D997)&gt;0,"PREVOUS REPORT","N/A"))</f>
        <v>NEW FINDING</v>
      </c>
    </row>
    <row r="998" spans="1:6" x14ac:dyDescent="0.2">
      <c r="A998" s="1">
        <v>45986</v>
      </c>
      <c r="B998" s="4" t="s">
        <v>1113</v>
      </c>
      <c r="C998" s="5"/>
      <c r="D998" s="6" t="s">
        <v>1114</v>
      </c>
      <c r="E998" s="6" t="s">
        <v>1099</v>
      </c>
      <c r="F998" t="str">
        <f>IF(COUNTIFS('[1]25 November'!$E:$E,$D998)&gt;0, "NEW FINDING", IF(COUNTIFS('[1]20 September New Socket'!E:E,$D998)&gt;0,"PREVOUS REPORT","N/A"))</f>
        <v>NEW FINDING</v>
      </c>
    </row>
    <row r="999" spans="1:6" x14ac:dyDescent="0.2">
      <c r="A999" s="1">
        <v>45986</v>
      </c>
      <c r="B999" s="4" t="s">
        <v>1115</v>
      </c>
      <c r="C999" s="5"/>
      <c r="D999" s="6" t="s">
        <v>1114</v>
      </c>
      <c r="E999" s="6" t="s">
        <v>1005</v>
      </c>
      <c r="F999" t="str">
        <f>IF(COUNTIFS('[1]25 November'!$E:$E,$D999)&gt;0, "NEW FINDING", IF(COUNTIFS('[1]20 September New Socket'!E:E,$D999)&gt;0,"PREVOUS REPORT","N/A"))</f>
        <v>NEW FINDING</v>
      </c>
    </row>
    <row r="1000" spans="1:6" x14ac:dyDescent="0.2">
      <c r="A1000" s="1">
        <v>45986</v>
      </c>
      <c r="B1000" s="4" t="s">
        <v>1116</v>
      </c>
      <c r="C1000" s="5"/>
      <c r="D1000" s="6" t="s">
        <v>1117</v>
      </c>
      <c r="E1000" s="6" t="s">
        <v>984</v>
      </c>
      <c r="F1000" t="str">
        <f>IF(COUNTIFS('[1]25 November'!$E:$E,$D1000)&gt;0, "NEW FINDING", IF(COUNTIFS('[1]20 September New Socket'!E:E,$D1000)&gt;0,"PREVOUS REPORT","N/A"))</f>
        <v>NEW FINDING</v>
      </c>
    </row>
    <row r="1001" spans="1:6" x14ac:dyDescent="0.2">
      <c r="A1001" s="1">
        <v>45986</v>
      </c>
      <c r="B1001" s="4" t="s">
        <v>1118</v>
      </c>
      <c r="C1001" s="5"/>
      <c r="D1001" s="6" t="s">
        <v>1117</v>
      </c>
      <c r="E1001" s="6" t="s">
        <v>879</v>
      </c>
      <c r="F1001" t="str">
        <f>IF(COUNTIFS('[1]25 November'!$E:$E,$D1001)&gt;0, "NEW FINDING", IF(COUNTIFS('[1]20 September New Socket'!E:E,$D1001)&gt;0,"PREVOUS REPORT","N/A"))</f>
        <v>NEW FINDING</v>
      </c>
    </row>
    <row r="1002" spans="1:6" x14ac:dyDescent="0.2">
      <c r="A1002" s="1">
        <v>45986</v>
      </c>
      <c r="B1002" s="4" t="s">
        <v>1119</v>
      </c>
      <c r="C1002" s="5"/>
      <c r="D1002" s="6" t="s">
        <v>1120</v>
      </c>
      <c r="E1002" s="6" t="s">
        <v>913</v>
      </c>
      <c r="F1002" t="str">
        <f>IF(COUNTIFS('[1]25 November'!$E:$E,$D1002)&gt;0, "NEW FINDING", IF(COUNTIFS('[1]20 September New Socket'!E:E,$D1002)&gt;0,"PREVOUS REPORT","N/A"))</f>
        <v>NEW FINDING</v>
      </c>
    </row>
    <row r="1003" spans="1:6" x14ac:dyDescent="0.2">
      <c r="A1003" s="1">
        <v>45986</v>
      </c>
      <c r="B1003" s="4" t="s">
        <v>1121</v>
      </c>
      <c r="C1003" s="5"/>
      <c r="D1003" s="6" t="s">
        <v>1120</v>
      </c>
      <c r="E1003" s="6" t="s">
        <v>915</v>
      </c>
      <c r="F1003" t="str">
        <f>IF(COUNTIFS('[1]25 November'!$E:$E,$D1003)&gt;0, "NEW FINDING", IF(COUNTIFS('[1]20 September New Socket'!E:E,$D1003)&gt;0,"PREVOUS REPORT","N/A"))</f>
        <v>NEW FINDING</v>
      </c>
    </row>
    <row r="1004" spans="1:6" x14ac:dyDescent="0.2">
      <c r="B1004" s="4" t="s">
        <v>1122</v>
      </c>
      <c r="C1004" s="5"/>
      <c r="D1004" s="6" t="s">
        <v>1123</v>
      </c>
      <c r="E1004" s="6" t="s">
        <v>915</v>
      </c>
      <c r="F1004" t="str">
        <f>IF(COUNTIFS('[1]25 November'!$E:$E,$D1004)&gt;0, "NEW FINDING", IF(COUNTIFS('[1]20 September New Socket'!E:E,$D1004)&gt;0,"PREVOUS REPORT","N/A"))</f>
        <v>N/A</v>
      </c>
    </row>
    <row r="1005" spans="1:6" x14ac:dyDescent="0.2">
      <c r="B1005" s="4" t="s">
        <v>1124</v>
      </c>
      <c r="C1005" s="5"/>
      <c r="D1005" s="6" t="s">
        <v>1123</v>
      </c>
      <c r="E1005" s="6" t="s">
        <v>917</v>
      </c>
      <c r="F1005" t="str">
        <f>IF(COUNTIFS('[1]25 November'!$E:$E,$D1005)&gt;0, "NEW FINDING", IF(COUNTIFS('[1]20 September New Socket'!E:E,$D1005)&gt;0,"PREVOUS REPORT","N/A"))</f>
        <v>N/A</v>
      </c>
    </row>
    <row r="1006" spans="1:6" x14ac:dyDescent="0.2">
      <c r="A1006" s="1">
        <v>45986</v>
      </c>
      <c r="B1006" s="4" t="s">
        <v>1125</v>
      </c>
      <c r="C1006" s="5"/>
      <c r="D1006" s="6" t="s">
        <v>1126</v>
      </c>
      <c r="E1006" s="6" t="s">
        <v>879</v>
      </c>
      <c r="F1006" t="str">
        <f>IF(COUNTIFS('[1]25 November'!$E:$E,$D1006)&gt;0, "NEW FINDING", IF(COUNTIFS('[1]20 September New Socket'!E:E,$D1006)&gt;0,"PREVOUS REPORT","N/A"))</f>
        <v>NEW FINDING</v>
      </c>
    </row>
    <row r="1007" spans="1:6" x14ac:dyDescent="0.2">
      <c r="A1007" s="1">
        <v>45986</v>
      </c>
      <c r="B1007" s="4" t="s">
        <v>1127</v>
      </c>
      <c r="C1007" s="5"/>
      <c r="D1007" s="6" t="s">
        <v>1126</v>
      </c>
      <c r="E1007" s="6" t="s">
        <v>881</v>
      </c>
      <c r="F1007" t="str">
        <f>IF(COUNTIFS('[1]25 November'!$E:$E,$D1007)&gt;0, "NEW FINDING", IF(COUNTIFS('[1]20 September New Socket'!E:E,$D1007)&gt;0,"PREVOUS REPORT","N/A"))</f>
        <v>NEW FINDING</v>
      </c>
    </row>
    <row r="1008" spans="1:6" x14ac:dyDescent="0.2">
      <c r="A1008" s="1">
        <v>45986</v>
      </c>
      <c r="B1008" s="4" t="s">
        <v>1128</v>
      </c>
      <c r="C1008" s="5"/>
      <c r="D1008" s="6" t="s">
        <v>1126</v>
      </c>
      <c r="E1008" s="6" t="s">
        <v>883</v>
      </c>
      <c r="F1008" t="str">
        <f>IF(COUNTIFS('[1]25 November'!$E:$E,$D1008)&gt;0, "NEW FINDING", IF(COUNTIFS('[1]20 September New Socket'!E:E,$D1008)&gt;0,"PREVOUS REPORT","N/A"))</f>
        <v>NEW FINDING</v>
      </c>
    </row>
    <row r="1009" spans="1:6" x14ac:dyDescent="0.2">
      <c r="A1009" s="1">
        <v>45986</v>
      </c>
      <c r="B1009" s="4" t="s">
        <v>1129</v>
      </c>
      <c r="C1009" s="5"/>
      <c r="D1009" s="6" t="s">
        <v>1130</v>
      </c>
      <c r="E1009" s="6" t="s">
        <v>866</v>
      </c>
      <c r="F1009" t="str">
        <f>IF(COUNTIFS('[1]25 November'!$E:$E,$D1009)&gt;0, "NEW FINDING", IF(COUNTIFS('[1]20 September New Socket'!E:E,$D1009)&gt;0,"PREVOUS REPORT","N/A"))</f>
        <v>NEW FINDING</v>
      </c>
    </row>
    <row r="1010" spans="1:6" x14ac:dyDescent="0.2">
      <c r="A1010" s="1">
        <v>45986</v>
      </c>
      <c r="B1010" s="4" t="s">
        <v>1131</v>
      </c>
      <c r="C1010" s="5"/>
      <c r="D1010" s="6" t="s">
        <v>1130</v>
      </c>
      <c r="E1010" s="6" t="s">
        <v>868</v>
      </c>
      <c r="F1010" t="str">
        <f>IF(COUNTIFS('[1]25 November'!$E:$E,$D1010)&gt;0, "NEW FINDING", IF(COUNTIFS('[1]20 September New Socket'!E:E,$D1010)&gt;0,"PREVOUS REPORT","N/A"))</f>
        <v>NEW FINDING</v>
      </c>
    </row>
    <row r="1011" spans="1:6" x14ac:dyDescent="0.2">
      <c r="A1011" s="1">
        <v>45986</v>
      </c>
      <c r="B1011" s="4" t="s">
        <v>1132</v>
      </c>
      <c r="C1011" s="5"/>
      <c r="D1011" s="6" t="s">
        <v>1133</v>
      </c>
      <c r="E1011" s="6" t="s">
        <v>915</v>
      </c>
      <c r="F1011" t="str">
        <f>IF(COUNTIFS('[1]25 November'!$E:$E,$D1011)&gt;0, "NEW FINDING", IF(COUNTIFS('[1]20 September New Socket'!E:E,$D1011)&gt;0,"PREVOUS REPORT","N/A"))</f>
        <v>NEW FINDING</v>
      </c>
    </row>
    <row r="1012" spans="1:6" x14ac:dyDescent="0.2">
      <c r="A1012" s="1">
        <v>45986</v>
      </c>
      <c r="B1012" s="4" t="s">
        <v>1134</v>
      </c>
      <c r="C1012" s="5"/>
      <c r="D1012" s="6" t="s">
        <v>1133</v>
      </c>
      <c r="E1012" s="6" t="s">
        <v>917</v>
      </c>
      <c r="F1012" t="str">
        <f>IF(COUNTIFS('[1]25 November'!$E:$E,$D1012)&gt;0, "NEW FINDING", IF(COUNTIFS('[1]20 September New Socket'!E:E,$D1012)&gt;0,"PREVOUS REPORT","N/A"))</f>
        <v>NEW FINDING</v>
      </c>
    </row>
    <row r="1013" spans="1:6" x14ac:dyDescent="0.2">
      <c r="A1013" s="1">
        <v>45986</v>
      </c>
      <c r="B1013" s="4" t="s">
        <v>1135</v>
      </c>
      <c r="C1013" s="5"/>
      <c r="D1013" s="6" t="s">
        <v>1136</v>
      </c>
      <c r="E1013" s="6" t="s">
        <v>1099</v>
      </c>
      <c r="F1013" t="str">
        <f>IF(COUNTIFS('[1]25 November'!$E:$E,$D1013)&gt;0, "NEW FINDING", IF(COUNTIFS('[1]20 September New Socket'!E:E,$D1013)&gt;0,"PREVOUS REPORT","N/A"))</f>
        <v>NEW FINDING</v>
      </c>
    </row>
    <row r="1014" spans="1:6" x14ac:dyDescent="0.2">
      <c r="A1014" s="1">
        <v>45986</v>
      </c>
      <c r="B1014" s="4" t="s">
        <v>1137</v>
      </c>
      <c r="C1014" s="5"/>
      <c r="D1014" s="6" t="s">
        <v>1136</v>
      </c>
      <c r="E1014" s="6" t="s">
        <v>1005</v>
      </c>
      <c r="F1014" t="str">
        <f>IF(COUNTIFS('[1]25 November'!$E:$E,$D1014)&gt;0, "NEW FINDING", IF(COUNTIFS('[1]20 September New Socket'!E:E,$D1014)&gt;0,"PREVOUS REPORT","N/A"))</f>
        <v>NEW FINDING</v>
      </c>
    </row>
    <row r="1015" spans="1:6" x14ac:dyDescent="0.2">
      <c r="A1015" s="1">
        <v>45986</v>
      </c>
      <c r="B1015" s="4" t="s">
        <v>1138</v>
      </c>
      <c r="C1015" s="5"/>
      <c r="D1015" s="6" t="s">
        <v>1139</v>
      </c>
      <c r="E1015" s="6" t="s">
        <v>874</v>
      </c>
      <c r="F1015" t="str">
        <f>IF(COUNTIFS('[1]25 November'!$E:$E,$D1015)&gt;0, "NEW FINDING", IF(COUNTIFS('[1]20 September New Socket'!E:E,$D1015)&gt;0,"PREVOUS REPORT","N/A"))</f>
        <v>NEW FINDING</v>
      </c>
    </row>
    <row r="1016" spans="1:6" x14ac:dyDescent="0.2">
      <c r="A1016" s="1">
        <v>45986</v>
      </c>
      <c r="B1016" s="4" t="s">
        <v>1140</v>
      </c>
      <c r="C1016" s="5"/>
      <c r="D1016" s="6" t="s">
        <v>1139</v>
      </c>
      <c r="E1016" s="6" t="s">
        <v>876</v>
      </c>
      <c r="F1016" t="str">
        <f>IF(COUNTIFS('[1]25 November'!$E:$E,$D1016)&gt;0, "NEW FINDING", IF(COUNTIFS('[1]20 September New Socket'!E:E,$D1016)&gt;0,"PREVOUS REPORT","N/A"))</f>
        <v>NEW FINDING</v>
      </c>
    </row>
    <row r="1017" spans="1:6" x14ac:dyDescent="0.2">
      <c r="A1017" s="1">
        <v>45986</v>
      </c>
      <c r="B1017" s="4" t="s">
        <v>1141</v>
      </c>
      <c r="C1017" s="5"/>
      <c r="D1017" s="6" t="s">
        <v>1142</v>
      </c>
      <c r="E1017" s="6" t="s">
        <v>1143</v>
      </c>
      <c r="F1017" t="str">
        <f>IF(COUNTIFS('[1]25 November'!$E:$E,$D1017)&gt;0, "NEW FINDING", IF(COUNTIFS('[1]20 September New Socket'!E:E,$D1017)&gt;0,"PREVOUS REPORT","N/A"))</f>
        <v>NEW FINDING</v>
      </c>
    </row>
    <row r="1018" spans="1:6" x14ac:dyDescent="0.2">
      <c r="A1018" s="1">
        <v>45986</v>
      </c>
      <c r="B1018" s="4" t="s">
        <v>1144</v>
      </c>
      <c r="C1018" s="5"/>
      <c r="D1018" s="6" t="s">
        <v>1142</v>
      </c>
      <c r="E1018" s="6" t="s">
        <v>1145</v>
      </c>
      <c r="F1018" t="str">
        <f>IF(COUNTIFS('[1]25 November'!$E:$E,$D1018)&gt;0, "NEW FINDING", IF(COUNTIFS('[1]20 September New Socket'!E:E,$D1018)&gt;0,"PREVOUS REPORT","N/A"))</f>
        <v>NEW FINDING</v>
      </c>
    </row>
    <row r="1019" spans="1:6" x14ac:dyDescent="0.2">
      <c r="B1019" s="4" t="s">
        <v>1146</v>
      </c>
      <c r="C1019" s="5"/>
      <c r="D1019" s="6" t="s">
        <v>1147</v>
      </c>
      <c r="E1019" s="6" t="s">
        <v>909</v>
      </c>
      <c r="F1019" t="str">
        <f>IF(COUNTIFS('[1]25 November'!$E:$E,$D1019)&gt;0, "NEW FINDING", IF(COUNTIFS('[1]20 September New Socket'!E:E,$D1019)&gt;0,"PREVOUS REPORT","N/A"))</f>
        <v>N/A</v>
      </c>
    </row>
    <row r="1020" spans="1:6" x14ac:dyDescent="0.2">
      <c r="B1020" s="4" t="s">
        <v>1148</v>
      </c>
      <c r="C1020" s="5"/>
      <c r="D1020" s="6" t="s">
        <v>1147</v>
      </c>
      <c r="E1020" s="6" t="s">
        <v>874</v>
      </c>
      <c r="F1020" t="str">
        <f>IF(COUNTIFS('[1]25 November'!$E:$E,$D1020)&gt;0, "NEW FINDING", IF(COUNTIFS('[1]20 September New Socket'!E:E,$D1020)&gt;0,"PREVOUS REPORT","N/A"))</f>
        <v>N/A</v>
      </c>
    </row>
    <row r="1021" spans="1:6" x14ac:dyDescent="0.2">
      <c r="B1021" s="4" t="s">
        <v>1149</v>
      </c>
      <c r="C1021" s="5"/>
      <c r="D1021" s="6" t="s">
        <v>1150</v>
      </c>
      <c r="E1021" s="6" t="s">
        <v>874</v>
      </c>
      <c r="F1021" t="str">
        <f>IF(COUNTIFS('[1]25 November'!$E:$E,$D1021)&gt;0, "NEW FINDING", IF(COUNTIFS('[1]20 September New Socket'!E:E,$D1021)&gt;0,"PREVOUS REPORT","N/A"))</f>
        <v>N/A</v>
      </c>
    </row>
    <row r="1022" spans="1:6" x14ac:dyDescent="0.2">
      <c r="B1022" s="4" t="s">
        <v>1151</v>
      </c>
      <c r="C1022" s="5"/>
      <c r="D1022" s="6" t="s">
        <v>1150</v>
      </c>
      <c r="E1022" s="6" t="s">
        <v>876</v>
      </c>
      <c r="F1022" t="str">
        <f>IF(COUNTIFS('[1]25 November'!$E:$E,$D1022)&gt;0, "NEW FINDING", IF(COUNTIFS('[1]20 September New Socket'!E:E,$D1022)&gt;0,"PREVOUS REPORT","N/A"))</f>
        <v>N/A</v>
      </c>
    </row>
    <row r="1023" spans="1:6" x14ac:dyDescent="0.2">
      <c r="B1023" s="4" t="s">
        <v>1152</v>
      </c>
      <c r="C1023" s="5"/>
      <c r="D1023" s="6" t="s">
        <v>1153</v>
      </c>
      <c r="E1023" s="6" t="s">
        <v>868</v>
      </c>
      <c r="F1023" t="str">
        <f>IF(COUNTIFS('[1]25 November'!$E:$E,$D1023)&gt;0, "NEW FINDING", IF(COUNTIFS('[1]20 September New Socket'!E:E,$D1023)&gt;0,"PREVOUS REPORT","N/A"))</f>
        <v>N/A</v>
      </c>
    </row>
    <row r="1024" spans="1:6" x14ac:dyDescent="0.2">
      <c r="B1024" s="4" t="s">
        <v>1154</v>
      </c>
      <c r="C1024" s="5"/>
      <c r="D1024" s="6" t="s">
        <v>1153</v>
      </c>
      <c r="E1024" s="6" t="s">
        <v>913</v>
      </c>
      <c r="F1024" t="str">
        <f>IF(COUNTIFS('[1]25 November'!$E:$E,$D1024)&gt;0, "NEW FINDING", IF(COUNTIFS('[1]20 September New Socket'!E:E,$D1024)&gt;0,"PREVOUS REPORT","N/A"))</f>
        <v>N/A</v>
      </c>
    </row>
    <row r="1025" spans="1:6" x14ac:dyDescent="0.2">
      <c r="A1025" s="1">
        <v>45986</v>
      </c>
      <c r="B1025" s="4" t="s">
        <v>1155</v>
      </c>
      <c r="C1025" s="5"/>
      <c r="D1025" s="6" t="s">
        <v>1156</v>
      </c>
      <c r="E1025" s="6" t="s">
        <v>1157</v>
      </c>
      <c r="F1025" t="str">
        <f>IF(COUNTIFS('[1]25 November'!$E:$E,$D1025)&gt;0, "NEW FINDING", IF(COUNTIFS('[1]20 September New Socket'!E:E,$D1025)&gt;0,"PREVOUS REPORT","N/A"))</f>
        <v>NEW FINDING</v>
      </c>
    </row>
    <row r="1026" spans="1:6" x14ac:dyDescent="0.2">
      <c r="A1026" s="1">
        <v>45986</v>
      </c>
      <c r="B1026" s="4" t="s">
        <v>1158</v>
      </c>
      <c r="C1026" s="5"/>
      <c r="D1026" s="6" t="s">
        <v>1156</v>
      </c>
      <c r="E1026" s="6" t="s">
        <v>1159</v>
      </c>
      <c r="F1026" t="str">
        <f>IF(COUNTIFS('[1]25 November'!$E:$E,$D1026)&gt;0, "NEW FINDING", IF(COUNTIFS('[1]20 September New Socket'!E:E,$D1026)&gt;0,"PREVOUS REPORT","N/A"))</f>
        <v>NEW FINDING</v>
      </c>
    </row>
    <row r="1027" spans="1:6" x14ac:dyDescent="0.2">
      <c r="A1027" s="1">
        <v>45986</v>
      </c>
      <c r="B1027" s="4" t="s">
        <v>1160</v>
      </c>
      <c r="C1027" s="5"/>
      <c r="D1027" s="6" t="s">
        <v>1161</v>
      </c>
      <c r="E1027" s="6" t="s">
        <v>866</v>
      </c>
      <c r="F1027" t="str">
        <f>IF(COUNTIFS('[1]25 November'!$E:$E,$D1027)&gt;0, "NEW FINDING", IF(COUNTIFS('[1]20 September New Socket'!E:E,$D1027)&gt;0,"PREVOUS REPORT","N/A"))</f>
        <v>NEW FINDING</v>
      </c>
    </row>
    <row r="1028" spans="1:6" x14ac:dyDescent="0.2">
      <c r="A1028" s="1">
        <v>45986</v>
      </c>
      <c r="B1028" s="4" t="s">
        <v>1162</v>
      </c>
      <c r="C1028" s="5"/>
      <c r="D1028" s="6" t="s">
        <v>1161</v>
      </c>
      <c r="E1028" s="6" t="s">
        <v>868</v>
      </c>
      <c r="F1028" t="str">
        <f>IF(COUNTIFS('[1]25 November'!$E:$E,$D1028)&gt;0, "NEW FINDING", IF(COUNTIFS('[1]20 September New Socket'!E:E,$D1028)&gt;0,"PREVOUS REPORT","N/A"))</f>
        <v>NEW FINDING</v>
      </c>
    </row>
    <row r="1029" spans="1:6" x14ac:dyDescent="0.2">
      <c r="A1029" s="1">
        <v>45986</v>
      </c>
      <c r="B1029" s="4" t="s">
        <v>1163</v>
      </c>
      <c r="C1029" s="5"/>
      <c r="D1029" s="6" t="s">
        <v>1161</v>
      </c>
      <c r="E1029" s="6" t="s">
        <v>913</v>
      </c>
      <c r="F1029" t="str">
        <f>IF(COUNTIFS('[1]25 November'!$E:$E,$D1029)&gt;0, "NEW FINDING", IF(COUNTIFS('[1]20 September New Socket'!E:E,$D1029)&gt;0,"PREVOUS REPORT","N/A"))</f>
        <v>NEW FINDING</v>
      </c>
    </row>
    <row r="1030" spans="1:6" x14ac:dyDescent="0.2">
      <c r="A1030" s="1">
        <v>45986</v>
      </c>
      <c r="B1030" s="4" t="s">
        <v>1164</v>
      </c>
      <c r="C1030" s="5"/>
      <c r="D1030" s="6" t="s">
        <v>1161</v>
      </c>
      <c r="E1030" s="6" t="s">
        <v>915</v>
      </c>
      <c r="F1030" t="str">
        <f>IF(COUNTIFS('[1]25 November'!$E:$E,$D1030)&gt;0, "NEW FINDING", IF(COUNTIFS('[1]20 September New Socket'!E:E,$D1030)&gt;0,"PREVOUS REPORT","N/A"))</f>
        <v>NEW FINDING</v>
      </c>
    </row>
    <row r="1031" spans="1:6" x14ac:dyDescent="0.2">
      <c r="A1031" s="1">
        <v>45986</v>
      </c>
      <c r="B1031" s="4" t="s">
        <v>1165</v>
      </c>
      <c r="C1031" s="5"/>
      <c r="D1031" s="6" t="s">
        <v>1166</v>
      </c>
      <c r="E1031" s="6" t="s">
        <v>866</v>
      </c>
      <c r="F1031" t="str">
        <f>IF(COUNTIFS('[1]25 November'!$E:$E,$D1031)&gt;0, "NEW FINDING", IF(COUNTIFS('[1]20 September New Socket'!E:E,$D1031)&gt;0,"PREVOUS REPORT","N/A"))</f>
        <v>NEW FINDING</v>
      </c>
    </row>
    <row r="1032" spans="1:6" x14ac:dyDescent="0.2">
      <c r="A1032" s="1">
        <v>45986</v>
      </c>
      <c r="B1032" s="4" t="s">
        <v>1167</v>
      </c>
      <c r="C1032" s="5"/>
      <c r="D1032" s="6" t="s">
        <v>1166</v>
      </c>
      <c r="E1032" s="6" t="s">
        <v>868</v>
      </c>
      <c r="F1032" t="str">
        <f>IF(COUNTIFS('[1]25 November'!$E:$E,$D1032)&gt;0, "NEW FINDING", IF(COUNTIFS('[1]20 September New Socket'!E:E,$D1032)&gt;0,"PREVOUS REPORT","N/A"))</f>
        <v>NEW FINDING</v>
      </c>
    </row>
    <row r="1033" spans="1:6" x14ac:dyDescent="0.2">
      <c r="A1033" s="1">
        <v>45986</v>
      </c>
      <c r="B1033" s="4" t="s">
        <v>1168</v>
      </c>
      <c r="C1033" s="5"/>
      <c r="D1033" s="6" t="s">
        <v>1166</v>
      </c>
      <c r="E1033" s="6" t="s">
        <v>913</v>
      </c>
      <c r="F1033" t="str">
        <f>IF(COUNTIFS('[1]25 November'!$E:$E,$D1033)&gt;0, "NEW FINDING", IF(COUNTIFS('[1]20 September New Socket'!E:E,$D1033)&gt;0,"PREVOUS REPORT","N/A"))</f>
        <v>NEW FINDING</v>
      </c>
    </row>
    <row r="1034" spans="1:6" x14ac:dyDescent="0.2">
      <c r="A1034" s="1">
        <v>45986</v>
      </c>
      <c r="B1034" s="4" t="s">
        <v>1169</v>
      </c>
      <c r="C1034" s="5"/>
      <c r="D1034" s="6" t="s">
        <v>1166</v>
      </c>
      <c r="E1034" s="6" t="s">
        <v>915</v>
      </c>
      <c r="F1034" t="str">
        <f>IF(COUNTIFS('[1]25 November'!$E:$E,$D1034)&gt;0, "NEW FINDING", IF(COUNTIFS('[1]20 September New Socket'!E:E,$D1034)&gt;0,"PREVOUS REPORT","N/A"))</f>
        <v>NEW FINDING</v>
      </c>
    </row>
    <row r="1035" spans="1:6" x14ac:dyDescent="0.2">
      <c r="B1035" s="4" t="s">
        <v>1170</v>
      </c>
      <c r="C1035" s="5"/>
      <c r="D1035" s="6" t="s">
        <v>1171</v>
      </c>
      <c r="E1035" s="6" t="s">
        <v>879</v>
      </c>
      <c r="F1035" t="str">
        <f>IF(COUNTIFS('[1]25 November'!$E:$E,$D1035)&gt;0, "NEW FINDING", IF(COUNTIFS('[1]20 September New Socket'!E:E,$D1035)&gt;0,"PREVOUS REPORT","N/A"))</f>
        <v>N/A</v>
      </c>
    </row>
    <row r="1036" spans="1:6" x14ac:dyDescent="0.2">
      <c r="B1036" s="4" t="s">
        <v>1172</v>
      </c>
      <c r="C1036" s="5"/>
      <c r="D1036" s="6" t="s">
        <v>1171</v>
      </c>
      <c r="E1036" s="6" t="s">
        <v>881</v>
      </c>
      <c r="F1036" t="str">
        <f>IF(COUNTIFS('[1]25 November'!$E:$E,$D1036)&gt;0, "NEW FINDING", IF(COUNTIFS('[1]20 September New Socket'!E:E,$D1036)&gt;0,"PREVOUS REPORT","N/A"))</f>
        <v>N/A</v>
      </c>
    </row>
    <row r="1037" spans="1:6" x14ac:dyDescent="0.2">
      <c r="A1037" s="1">
        <v>45986</v>
      </c>
      <c r="B1037" s="4" t="s">
        <v>1173</v>
      </c>
      <c r="C1037" s="5"/>
      <c r="D1037" s="6" t="s">
        <v>1174</v>
      </c>
      <c r="E1037" s="6" t="s">
        <v>913</v>
      </c>
      <c r="F1037" t="str">
        <f>IF(COUNTIFS('[1]25 November'!$E:$E,$D1037)&gt;0, "NEW FINDING", IF(COUNTIFS('[1]20 September New Socket'!E:E,$D1037)&gt;0,"PREVOUS REPORT","N/A"))</f>
        <v>NEW FINDING</v>
      </c>
    </row>
    <row r="1038" spans="1:6" x14ac:dyDescent="0.2">
      <c r="A1038" s="1">
        <v>45986</v>
      </c>
      <c r="B1038" s="4" t="s">
        <v>1175</v>
      </c>
      <c r="C1038" s="5"/>
      <c r="D1038" s="6" t="s">
        <v>1174</v>
      </c>
      <c r="E1038" s="6" t="s">
        <v>915</v>
      </c>
      <c r="F1038" t="str">
        <f>IF(COUNTIFS('[1]25 November'!$E:$E,$D1038)&gt;0, "NEW FINDING", IF(COUNTIFS('[1]20 September New Socket'!E:E,$D1038)&gt;0,"PREVOUS REPORT","N/A"))</f>
        <v>NEW FINDING</v>
      </c>
    </row>
    <row r="1039" spans="1:6" x14ac:dyDescent="0.2">
      <c r="B1039" s="4" t="s">
        <v>1176</v>
      </c>
      <c r="C1039" s="5"/>
      <c r="D1039" s="6" t="s">
        <v>1177</v>
      </c>
      <c r="E1039" s="6" t="s">
        <v>866</v>
      </c>
      <c r="F1039" t="str">
        <f>IF(COUNTIFS('[1]25 November'!$E:$E,$D1039)&gt;0, "NEW FINDING", IF(COUNTIFS('[1]20 September New Socket'!E:E,$D1039)&gt;0,"PREVOUS REPORT","N/A"))</f>
        <v>N/A</v>
      </c>
    </row>
    <row r="1040" spans="1:6" x14ac:dyDescent="0.2">
      <c r="B1040" s="4" t="s">
        <v>1178</v>
      </c>
      <c r="C1040" s="5"/>
      <c r="D1040" s="6" t="s">
        <v>1177</v>
      </c>
      <c r="E1040" s="6" t="s">
        <v>868</v>
      </c>
      <c r="F1040" t="str">
        <f>IF(COUNTIFS('[1]25 November'!$E:$E,$D1040)&gt;0, "NEW FINDING", IF(COUNTIFS('[1]20 September New Socket'!E:E,$D1040)&gt;0,"PREVOUS REPORT","N/A"))</f>
        <v>N/A</v>
      </c>
    </row>
    <row r="1041" spans="1:6" x14ac:dyDescent="0.2">
      <c r="A1041" s="1">
        <v>45986</v>
      </c>
      <c r="B1041" s="4" t="s">
        <v>1179</v>
      </c>
      <c r="C1041" s="5"/>
      <c r="D1041" s="6" t="s">
        <v>1180</v>
      </c>
      <c r="E1041" s="6" t="s">
        <v>866</v>
      </c>
      <c r="F1041" t="str">
        <f>IF(COUNTIFS('[1]25 November'!$E:$E,$D1041)&gt;0, "NEW FINDING", IF(COUNTIFS('[1]20 September New Socket'!E:E,$D1041)&gt;0,"PREVOUS REPORT","N/A"))</f>
        <v>NEW FINDING</v>
      </c>
    </row>
    <row r="1042" spans="1:6" x14ac:dyDescent="0.2">
      <c r="A1042" s="1">
        <v>45986</v>
      </c>
      <c r="B1042" s="4" t="s">
        <v>1181</v>
      </c>
      <c r="C1042" s="5"/>
      <c r="D1042" s="6" t="s">
        <v>1180</v>
      </c>
      <c r="E1042" s="6" t="s">
        <v>868</v>
      </c>
      <c r="F1042" t="str">
        <f>IF(COUNTIFS('[1]25 November'!$E:$E,$D1042)&gt;0, "NEW FINDING", IF(COUNTIFS('[1]20 September New Socket'!E:E,$D1042)&gt;0,"PREVOUS REPORT","N/A"))</f>
        <v>NEW FINDING</v>
      </c>
    </row>
    <row r="1043" spans="1:6" x14ac:dyDescent="0.2">
      <c r="A1043" s="1">
        <v>45986</v>
      </c>
      <c r="B1043" s="4" t="s">
        <v>1182</v>
      </c>
      <c r="C1043" s="5"/>
      <c r="D1043" s="6" t="s">
        <v>1183</v>
      </c>
      <c r="E1043" s="6" t="s">
        <v>866</v>
      </c>
      <c r="F1043" t="str">
        <f>IF(COUNTIFS('[1]25 November'!$E:$E,$D1043)&gt;0, "NEW FINDING", IF(COUNTIFS('[1]20 September New Socket'!E:E,$D1043)&gt;0,"PREVOUS REPORT","N/A"))</f>
        <v>NEW FINDING</v>
      </c>
    </row>
    <row r="1044" spans="1:6" x14ac:dyDescent="0.2">
      <c r="A1044" s="1">
        <v>45986</v>
      </c>
      <c r="B1044" s="4" t="s">
        <v>1184</v>
      </c>
      <c r="C1044" s="5"/>
      <c r="D1044" s="6" t="s">
        <v>1183</v>
      </c>
      <c r="E1044" s="6" t="s">
        <v>868</v>
      </c>
      <c r="F1044" t="str">
        <f>IF(COUNTIFS('[1]25 November'!$E:$E,$D1044)&gt;0, "NEW FINDING", IF(COUNTIFS('[1]20 September New Socket'!E:E,$D1044)&gt;0,"PREVOUS REPORT","N/A"))</f>
        <v>NEW FINDING</v>
      </c>
    </row>
    <row r="1045" spans="1:6" x14ac:dyDescent="0.2">
      <c r="A1045" s="1">
        <v>45986</v>
      </c>
      <c r="B1045" s="4" t="s">
        <v>1185</v>
      </c>
      <c r="C1045" s="5"/>
      <c r="D1045" s="6" t="s">
        <v>1183</v>
      </c>
      <c r="E1045" s="6" t="s">
        <v>913</v>
      </c>
      <c r="F1045" t="str">
        <f>IF(COUNTIFS('[1]25 November'!$E:$E,$D1045)&gt;0, "NEW FINDING", IF(COUNTIFS('[1]20 September New Socket'!E:E,$D1045)&gt;0,"PREVOUS REPORT","N/A"))</f>
        <v>NEW FINDING</v>
      </c>
    </row>
    <row r="1046" spans="1:6" x14ac:dyDescent="0.2">
      <c r="A1046" s="1">
        <v>45986</v>
      </c>
      <c r="B1046" s="4" t="s">
        <v>1186</v>
      </c>
      <c r="C1046" s="5"/>
      <c r="D1046" s="6" t="s">
        <v>1183</v>
      </c>
      <c r="E1046" s="6" t="s">
        <v>915</v>
      </c>
      <c r="F1046" t="str">
        <f>IF(COUNTIFS('[1]25 November'!$E:$E,$D1046)&gt;0, "NEW FINDING", IF(COUNTIFS('[1]20 September New Socket'!E:E,$D1046)&gt;0,"PREVOUS REPORT","N/A"))</f>
        <v>NEW FINDING</v>
      </c>
    </row>
    <row r="1047" spans="1:6" x14ac:dyDescent="0.2">
      <c r="B1047" s="4" t="s">
        <v>1187</v>
      </c>
      <c r="C1047" s="5"/>
      <c r="D1047" s="6" t="s">
        <v>1188</v>
      </c>
      <c r="E1047" s="6" t="s">
        <v>1143</v>
      </c>
      <c r="F1047" t="str">
        <f>IF(COUNTIFS('[1]25 November'!$E:$E,$D1047)&gt;0, "NEW FINDING", IF(COUNTIFS('[1]20 September New Socket'!E:E,$D1047)&gt;0,"PREVOUS REPORT","N/A"))</f>
        <v>N/A</v>
      </c>
    </row>
    <row r="1048" spans="1:6" x14ac:dyDescent="0.2">
      <c r="B1048" s="4" t="s">
        <v>1189</v>
      </c>
      <c r="C1048" s="5"/>
      <c r="D1048" s="6" t="s">
        <v>1188</v>
      </c>
      <c r="E1048" s="6" t="s">
        <v>1145</v>
      </c>
      <c r="F1048" t="str">
        <f>IF(COUNTIFS('[1]25 November'!$E:$E,$D1048)&gt;0, "NEW FINDING", IF(COUNTIFS('[1]20 September New Socket'!E:E,$D1048)&gt;0,"PREVOUS REPORT","N/A"))</f>
        <v>N/A</v>
      </c>
    </row>
    <row r="1049" spans="1:6" x14ac:dyDescent="0.2">
      <c r="B1049" s="4" t="s">
        <v>1190</v>
      </c>
      <c r="C1049" s="5"/>
      <c r="D1049" s="6" t="s">
        <v>1191</v>
      </c>
      <c r="E1049" s="6" t="s">
        <v>1143</v>
      </c>
      <c r="F1049" t="str">
        <f>IF(COUNTIFS('[1]25 November'!$E:$E,$D1049)&gt;0, "NEW FINDING", IF(COUNTIFS('[1]20 September New Socket'!E:E,$D1049)&gt;0,"PREVOUS REPORT","N/A"))</f>
        <v>N/A</v>
      </c>
    </row>
    <row r="1050" spans="1:6" x14ac:dyDescent="0.2">
      <c r="B1050" s="4" t="s">
        <v>1192</v>
      </c>
      <c r="C1050" s="5"/>
      <c r="D1050" s="6" t="s">
        <v>1191</v>
      </c>
      <c r="E1050" s="6" t="s">
        <v>1145</v>
      </c>
      <c r="F1050" t="str">
        <f>IF(COUNTIFS('[1]25 November'!$E:$E,$D1050)&gt;0, "NEW FINDING", IF(COUNTIFS('[1]20 September New Socket'!E:E,$D1050)&gt;0,"PREVOUS REPORT","N/A"))</f>
        <v>N/A</v>
      </c>
    </row>
    <row r="1051" spans="1:6" x14ac:dyDescent="0.2">
      <c r="B1051" s="4" t="s">
        <v>1193</v>
      </c>
      <c r="C1051" s="5"/>
      <c r="D1051" s="6" t="s">
        <v>1194</v>
      </c>
      <c r="E1051" s="6" t="s">
        <v>1143</v>
      </c>
      <c r="F1051" t="str">
        <f>IF(COUNTIFS('[1]25 November'!$E:$E,$D1051)&gt;0, "NEW FINDING", IF(COUNTIFS('[1]20 September New Socket'!E:E,$D1051)&gt;0,"PREVOUS REPORT","N/A"))</f>
        <v>N/A</v>
      </c>
    </row>
    <row r="1052" spans="1:6" x14ac:dyDescent="0.2">
      <c r="B1052" s="4" t="s">
        <v>1195</v>
      </c>
      <c r="C1052" s="5"/>
      <c r="D1052" s="6" t="s">
        <v>1194</v>
      </c>
      <c r="E1052" s="6" t="s">
        <v>1145</v>
      </c>
      <c r="F1052" t="str">
        <f>IF(COUNTIFS('[1]25 November'!$E:$E,$D1052)&gt;0, "NEW FINDING", IF(COUNTIFS('[1]20 September New Socket'!E:E,$D1052)&gt;0,"PREVOUS REPORT","N/A"))</f>
        <v>N/A</v>
      </c>
    </row>
    <row r="1053" spans="1:6" x14ac:dyDescent="0.2">
      <c r="B1053" s="4" t="s">
        <v>1196</v>
      </c>
      <c r="C1053" s="5"/>
      <c r="D1053" s="6" t="s">
        <v>1197</v>
      </c>
      <c r="E1053" s="6" t="s">
        <v>1143</v>
      </c>
      <c r="F1053" t="str">
        <f>IF(COUNTIFS('[1]25 November'!$E:$E,$D1053)&gt;0, "NEW FINDING", IF(COUNTIFS('[1]20 September New Socket'!E:E,$D1053)&gt;0,"PREVOUS REPORT","N/A"))</f>
        <v>N/A</v>
      </c>
    </row>
    <row r="1054" spans="1:6" x14ac:dyDescent="0.2">
      <c r="B1054" s="4" t="s">
        <v>1198</v>
      </c>
      <c r="C1054" s="5"/>
      <c r="D1054" s="6" t="s">
        <v>1197</v>
      </c>
      <c r="E1054" s="6" t="s">
        <v>1145</v>
      </c>
      <c r="F1054" t="str">
        <f>IF(COUNTIFS('[1]25 November'!$E:$E,$D1054)&gt;0, "NEW FINDING", IF(COUNTIFS('[1]20 September New Socket'!E:E,$D1054)&gt;0,"PREVOUS REPORT","N/A"))</f>
        <v>N/A</v>
      </c>
    </row>
    <row r="1055" spans="1:6" x14ac:dyDescent="0.2">
      <c r="B1055" s="4" t="s">
        <v>1199</v>
      </c>
      <c r="C1055" s="5"/>
      <c r="D1055" s="6" t="s">
        <v>1200</v>
      </c>
      <c r="E1055" s="6" t="s">
        <v>1143</v>
      </c>
      <c r="F1055" t="str">
        <f>IF(COUNTIFS('[1]25 November'!$E:$E,$D1055)&gt;0, "NEW FINDING", IF(COUNTIFS('[1]20 September New Socket'!E:E,$D1055)&gt;0,"PREVOUS REPORT","N/A"))</f>
        <v>N/A</v>
      </c>
    </row>
    <row r="1056" spans="1:6" x14ac:dyDescent="0.2">
      <c r="B1056" s="4" t="s">
        <v>1201</v>
      </c>
      <c r="C1056" s="5"/>
      <c r="D1056" s="6" t="s">
        <v>1200</v>
      </c>
      <c r="E1056" s="6" t="s">
        <v>1145</v>
      </c>
      <c r="F1056" t="str">
        <f>IF(COUNTIFS('[1]25 November'!$E:$E,$D1056)&gt;0, "NEW FINDING", IF(COUNTIFS('[1]20 September New Socket'!E:E,$D1056)&gt;0,"PREVOUS REPORT","N/A"))</f>
        <v>N/A</v>
      </c>
    </row>
    <row r="1057" spans="1:6" x14ac:dyDescent="0.2">
      <c r="B1057" s="4" t="s">
        <v>1202</v>
      </c>
      <c r="C1057" s="5"/>
      <c r="D1057" s="6" t="s">
        <v>1203</v>
      </c>
      <c r="E1057" s="6" t="s">
        <v>1204</v>
      </c>
      <c r="F1057" t="str">
        <f>IF(COUNTIFS('[1]25 November'!$E:$E,$D1057)&gt;0, "NEW FINDING", IF(COUNTIFS('[1]20 September New Socket'!E:E,$D1057)&gt;0,"PREVOUS REPORT","N/A"))</f>
        <v>N/A</v>
      </c>
    </row>
    <row r="1058" spans="1:6" x14ac:dyDescent="0.2">
      <c r="B1058" s="4" t="s">
        <v>1205</v>
      </c>
      <c r="C1058" s="5"/>
      <c r="D1058" s="6" t="s">
        <v>1203</v>
      </c>
      <c r="E1058" s="6" t="s">
        <v>1206</v>
      </c>
      <c r="F1058" t="str">
        <f>IF(COUNTIFS('[1]25 November'!$E:$E,$D1058)&gt;0, "NEW FINDING", IF(COUNTIFS('[1]20 September New Socket'!E:E,$D1058)&gt;0,"PREVOUS REPORT","N/A"))</f>
        <v>N/A</v>
      </c>
    </row>
    <row r="1059" spans="1:6" x14ac:dyDescent="0.2">
      <c r="B1059" s="4" t="s">
        <v>1207</v>
      </c>
      <c r="C1059" s="5"/>
      <c r="D1059" s="6" t="s">
        <v>1208</v>
      </c>
      <c r="E1059" s="6" t="s">
        <v>1209</v>
      </c>
      <c r="F1059" t="str">
        <f>IF(COUNTIFS('[1]25 November'!$E:$E,$D1059)&gt;0, "NEW FINDING", IF(COUNTIFS('[1]20 September New Socket'!E:E,$D1059)&gt;0,"PREVOUS REPORT","N/A"))</f>
        <v>N/A</v>
      </c>
    </row>
    <row r="1060" spans="1:6" x14ac:dyDescent="0.2">
      <c r="B1060" s="4" t="s">
        <v>1210</v>
      </c>
      <c r="C1060" s="5"/>
      <c r="D1060" s="6" t="s">
        <v>1208</v>
      </c>
      <c r="E1060" s="6" t="s">
        <v>1211</v>
      </c>
      <c r="F1060" t="str">
        <f>IF(COUNTIFS('[1]25 November'!$E:$E,$D1060)&gt;0, "NEW FINDING", IF(COUNTIFS('[1]20 September New Socket'!E:E,$D1060)&gt;0,"PREVOUS REPORT","N/A"))</f>
        <v>N/A</v>
      </c>
    </row>
    <row r="1061" spans="1:6" x14ac:dyDescent="0.2">
      <c r="B1061" s="4" t="s">
        <v>1212</v>
      </c>
      <c r="C1061" s="5"/>
      <c r="D1061" s="6" t="s">
        <v>1213</v>
      </c>
      <c r="E1061" s="6" t="s">
        <v>1143</v>
      </c>
      <c r="F1061" t="str">
        <f>IF(COUNTIFS('[1]25 November'!$E:$E,$D1061)&gt;0, "NEW FINDING", IF(COUNTIFS('[1]20 September New Socket'!E:E,$D1061)&gt;0,"PREVOUS REPORT","N/A"))</f>
        <v>N/A</v>
      </c>
    </row>
    <row r="1062" spans="1:6" x14ac:dyDescent="0.2">
      <c r="B1062" s="4" t="s">
        <v>1214</v>
      </c>
      <c r="C1062" s="5"/>
      <c r="D1062" s="6" t="s">
        <v>1213</v>
      </c>
      <c r="E1062" s="6" t="s">
        <v>1145</v>
      </c>
      <c r="F1062" t="str">
        <f>IF(COUNTIFS('[1]25 November'!$E:$E,$D1062)&gt;0, "NEW FINDING", IF(COUNTIFS('[1]20 September New Socket'!E:E,$D1062)&gt;0,"PREVOUS REPORT","N/A"))</f>
        <v>N/A</v>
      </c>
    </row>
    <row r="1063" spans="1:6" x14ac:dyDescent="0.2">
      <c r="A1063" s="1">
        <v>45986</v>
      </c>
      <c r="B1063" s="4" t="s">
        <v>1215</v>
      </c>
      <c r="C1063" s="7"/>
      <c r="D1063" s="8" t="s">
        <v>1216</v>
      </c>
      <c r="E1063" s="8" t="s">
        <v>890</v>
      </c>
      <c r="F1063" t="str">
        <f>IF(COUNTIFS('[1]25 November'!$E:$E,$D1063)&gt;0, "NEW FINDING", IF(COUNTIFS('[1]20 September New Socket'!E:E,$D1063)&gt;0,"PREVOUS REPORT","N/A"))</f>
        <v>NEW FINDING</v>
      </c>
    </row>
    <row r="1064" spans="1:6" x14ac:dyDescent="0.2">
      <c r="A1064" s="1">
        <v>45986</v>
      </c>
      <c r="B1064" s="4" t="s">
        <v>1217</v>
      </c>
      <c r="C1064" s="7"/>
      <c r="D1064" s="8" t="s">
        <v>1216</v>
      </c>
      <c r="E1064" s="8" t="s">
        <v>892</v>
      </c>
      <c r="F1064" t="str">
        <f>IF(COUNTIFS('[1]25 November'!$E:$E,$D1064)&gt;0, "NEW FINDING", IF(COUNTIFS('[1]20 September New Socket'!E:E,$D1064)&gt;0,"PREVOUS REPORT","N/A"))</f>
        <v>NEW FINDING</v>
      </c>
    </row>
    <row r="1065" spans="1:6" x14ac:dyDescent="0.2">
      <c r="A1065" s="1">
        <v>45986</v>
      </c>
      <c r="B1065" s="4" t="s">
        <v>1218</v>
      </c>
      <c r="C1065" s="7"/>
      <c r="D1065" s="8" t="s">
        <v>1219</v>
      </c>
      <c r="E1065" s="8" t="s">
        <v>866</v>
      </c>
      <c r="F1065" t="str">
        <f>IF(COUNTIFS('[1]25 November'!$E:$E,$D1065)&gt;0, "NEW FINDING", IF(COUNTIFS('[1]20 September New Socket'!E:E,$D1065)&gt;0,"PREVOUS REPORT","N/A"))</f>
        <v>NEW FINDING</v>
      </c>
    </row>
    <row r="1066" spans="1:6" x14ac:dyDescent="0.2">
      <c r="A1066" s="1">
        <v>45986</v>
      </c>
      <c r="B1066" s="4" t="s">
        <v>1220</v>
      </c>
      <c r="C1066" s="7"/>
      <c r="D1066" s="8" t="s">
        <v>1219</v>
      </c>
      <c r="E1066" s="8" t="s">
        <v>868</v>
      </c>
      <c r="F1066" t="str">
        <f>IF(COUNTIFS('[1]25 November'!$E:$E,$D1066)&gt;0, "NEW FINDING", IF(COUNTIFS('[1]20 September New Socket'!E:E,$D1066)&gt;0,"PREVOUS REPORT","N/A"))</f>
        <v>NEW FINDING</v>
      </c>
    </row>
    <row r="1067" spans="1:6" x14ac:dyDescent="0.2">
      <c r="A1067" s="1">
        <v>45986</v>
      </c>
      <c r="B1067" s="4" t="s">
        <v>1221</v>
      </c>
      <c r="C1067" s="7"/>
      <c r="D1067" s="8" t="s">
        <v>1219</v>
      </c>
      <c r="E1067" s="8" t="s">
        <v>913</v>
      </c>
      <c r="F1067" t="str">
        <f>IF(COUNTIFS('[1]25 November'!$E:$E,$D1067)&gt;0, "NEW FINDING", IF(COUNTIFS('[1]20 September New Socket'!E:E,$D1067)&gt;0,"PREVOUS REPORT","N/A"))</f>
        <v>NEW FINDING</v>
      </c>
    </row>
    <row r="1068" spans="1:6" x14ac:dyDescent="0.2">
      <c r="A1068" s="1">
        <v>45986</v>
      </c>
      <c r="B1068" s="4" t="s">
        <v>1222</v>
      </c>
      <c r="C1068" s="7"/>
      <c r="D1068" s="8" t="s">
        <v>1223</v>
      </c>
      <c r="E1068" s="8" t="s">
        <v>1224</v>
      </c>
      <c r="F1068" t="str">
        <f>IF(COUNTIFS('[1]25 November'!$E:$E,$D1068)&gt;0, "NEW FINDING", IF(COUNTIFS('[1]20 September New Socket'!E:E,$D1068)&gt;0,"PREVOUS REPORT","N/A"))</f>
        <v>NEW FINDING</v>
      </c>
    </row>
    <row r="1069" spans="1:6" x14ac:dyDescent="0.2">
      <c r="A1069" s="1">
        <v>45986</v>
      </c>
      <c r="B1069" s="4" t="s">
        <v>1225</v>
      </c>
      <c r="C1069" s="7"/>
      <c r="D1069" s="8" t="s">
        <v>1223</v>
      </c>
      <c r="E1069" s="8" t="s">
        <v>1226</v>
      </c>
      <c r="F1069" t="str">
        <f>IF(COUNTIFS('[1]25 November'!$E:$E,$D1069)&gt;0, "NEW FINDING", IF(COUNTIFS('[1]20 September New Socket'!E:E,$D1069)&gt;0,"PREVOUS REPORT","N/A"))</f>
        <v>NEW FINDING</v>
      </c>
    </row>
    <row r="1070" spans="1:6" x14ac:dyDescent="0.2">
      <c r="A1070" s="1">
        <v>45986</v>
      </c>
      <c r="B1070" s="4" t="s">
        <v>1227</v>
      </c>
      <c r="C1070" s="7"/>
      <c r="D1070" s="8" t="s">
        <v>1223</v>
      </c>
      <c r="E1070" s="8" t="s">
        <v>1228</v>
      </c>
      <c r="F1070" t="str">
        <f>IF(COUNTIFS('[1]25 November'!$E:$E,$D1070)&gt;0, "NEW FINDING", IF(COUNTIFS('[1]20 September New Socket'!E:E,$D1070)&gt;0,"PREVOUS REPORT","N/A"))</f>
        <v>NEW FINDING</v>
      </c>
    </row>
    <row r="1071" spans="1:6" x14ac:dyDescent="0.2">
      <c r="A1071" s="1">
        <v>45986</v>
      </c>
      <c r="B1071" s="4" t="s">
        <v>1229</v>
      </c>
      <c r="C1071" s="7"/>
      <c r="D1071" s="8" t="s">
        <v>1230</v>
      </c>
      <c r="E1071" s="8" t="s">
        <v>1224</v>
      </c>
      <c r="F1071" t="str">
        <f>IF(COUNTIFS('[1]25 November'!$E:$E,$D1071)&gt;0, "NEW FINDING", IF(COUNTIFS('[1]20 September New Socket'!E:E,$D1071)&gt;0,"PREVOUS REPORT","N/A"))</f>
        <v>NEW FINDING</v>
      </c>
    </row>
    <row r="1072" spans="1:6" x14ac:dyDescent="0.2">
      <c r="A1072" s="1">
        <v>45986</v>
      </c>
      <c r="B1072" s="4" t="s">
        <v>1231</v>
      </c>
      <c r="C1072" s="7"/>
      <c r="D1072" s="8" t="s">
        <v>1230</v>
      </c>
      <c r="E1072" s="8" t="s">
        <v>1226</v>
      </c>
      <c r="F1072" t="str">
        <f>IF(COUNTIFS('[1]25 November'!$E:$E,$D1072)&gt;0, "NEW FINDING", IF(COUNTIFS('[1]20 September New Socket'!E:E,$D1072)&gt;0,"PREVOUS REPORT","N/A"))</f>
        <v>NEW FINDING</v>
      </c>
    </row>
    <row r="1073" spans="1:6" x14ac:dyDescent="0.2">
      <c r="A1073" s="1">
        <v>45986</v>
      </c>
      <c r="B1073" s="4" t="s">
        <v>1232</v>
      </c>
      <c r="C1073" s="7"/>
      <c r="D1073" s="8" t="s">
        <v>1230</v>
      </c>
      <c r="E1073" s="8" t="s">
        <v>1228</v>
      </c>
      <c r="F1073" t="str">
        <f>IF(COUNTIFS('[1]25 November'!$E:$E,$D1073)&gt;0, "NEW FINDING", IF(COUNTIFS('[1]20 September New Socket'!E:E,$D1073)&gt;0,"PREVOUS REPORT","N/A"))</f>
        <v>NEW FINDING</v>
      </c>
    </row>
    <row r="1074" spans="1:6" x14ac:dyDescent="0.2">
      <c r="A1074" s="1">
        <v>45986</v>
      </c>
      <c r="B1074" s="4" t="s">
        <v>1233</v>
      </c>
      <c r="C1074" s="7"/>
      <c r="D1074" s="8" t="s">
        <v>1234</v>
      </c>
      <c r="E1074" s="8" t="s">
        <v>1235</v>
      </c>
      <c r="F1074" t="str">
        <f>IF(COUNTIFS('[1]25 November'!$E:$E,$D1074)&gt;0, "NEW FINDING", IF(COUNTIFS('[1]20 September New Socket'!E:E,$D1074)&gt;0,"PREVOUS REPORT","N/A"))</f>
        <v>NEW FINDING</v>
      </c>
    </row>
    <row r="1075" spans="1:6" x14ac:dyDescent="0.2">
      <c r="A1075" s="1">
        <v>45986</v>
      </c>
      <c r="B1075" s="4" t="s">
        <v>1236</v>
      </c>
      <c r="C1075" s="7"/>
      <c r="D1075" s="8" t="s">
        <v>1234</v>
      </c>
      <c r="E1075" s="8" t="s">
        <v>1237</v>
      </c>
      <c r="F1075" t="str">
        <f>IF(COUNTIFS('[1]25 November'!$E:$E,$D1075)&gt;0, "NEW FINDING", IF(COUNTIFS('[1]20 September New Socket'!E:E,$D1075)&gt;0,"PREVOUS REPORT","N/A"))</f>
        <v>NEW FINDING</v>
      </c>
    </row>
    <row r="1076" spans="1:6" x14ac:dyDescent="0.2">
      <c r="A1076" s="1">
        <v>45986</v>
      </c>
      <c r="B1076" s="4" t="s">
        <v>1238</v>
      </c>
      <c r="C1076" s="7"/>
      <c r="D1076" s="8" t="s">
        <v>1234</v>
      </c>
      <c r="E1076" s="8" t="s">
        <v>1239</v>
      </c>
      <c r="F1076" t="str">
        <f>IF(COUNTIFS('[1]25 November'!$E:$E,$D1076)&gt;0, "NEW FINDING", IF(COUNTIFS('[1]20 September New Socket'!E:E,$D1076)&gt;0,"PREVOUS REPORT","N/A"))</f>
        <v>NEW FINDING</v>
      </c>
    </row>
    <row r="1077" spans="1:6" x14ac:dyDescent="0.2">
      <c r="A1077" s="1">
        <v>45986</v>
      </c>
      <c r="B1077" s="4" t="s">
        <v>1240</v>
      </c>
      <c r="C1077" s="7"/>
      <c r="D1077" s="8" t="s">
        <v>1241</v>
      </c>
      <c r="E1077" s="8" t="s">
        <v>1224</v>
      </c>
      <c r="F1077" t="str">
        <f>IF(COUNTIFS('[1]25 November'!$E:$E,$D1077)&gt;0, "NEW FINDING", IF(COUNTIFS('[1]20 September New Socket'!E:E,$D1077)&gt;0,"PREVOUS REPORT","N/A"))</f>
        <v>NEW FINDING</v>
      </c>
    </row>
    <row r="1078" spans="1:6" x14ac:dyDescent="0.2">
      <c r="A1078" s="1">
        <v>45986</v>
      </c>
      <c r="B1078" s="4" t="s">
        <v>1242</v>
      </c>
      <c r="C1078" s="7"/>
      <c r="D1078" s="8" t="s">
        <v>1241</v>
      </c>
      <c r="E1078" s="8" t="s">
        <v>1226</v>
      </c>
      <c r="F1078" t="str">
        <f>IF(COUNTIFS('[1]25 November'!$E:$E,$D1078)&gt;0, "NEW FINDING", IF(COUNTIFS('[1]20 September New Socket'!E:E,$D1078)&gt;0,"PREVOUS REPORT","N/A"))</f>
        <v>NEW FINDING</v>
      </c>
    </row>
    <row r="1079" spans="1:6" x14ac:dyDescent="0.2">
      <c r="A1079" s="1">
        <v>45986</v>
      </c>
      <c r="B1079" s="4" t="s">
        <v>1243</v>
      </c>
      <c r="C1079" s="7"/>
      <c r="D1079" s="8" t="s">
        <v>1241</v>
      </c>
      <c r="E1079" s="8" t="s">
        <v>1228</v>
      </c>
      <c r="F1079" t="str">
        <f>IF(COUNTIFS('[1]25 November'!$E:$E,$D1079)&gt;0, "NEW FINDING", IF(COUNTIFS('[1]20 September New Socket'!E:E,$D1079)&gt;0,"PREVOUS REPORT","N/A"))</f>
        <v>NEW FINDING</v>
      </c>
    </row>
    <row r="1080" spans="1:6" x14ac:dyDescent="0.2">
      <c r="A1080" s="1">
        <v>45986</v>
      </c>
      <c r="B1080" s="4" t="s">
        <v>1244</v>
      </c>
      <c r="C1080" s="7"/>
      <c r="D1080" s="8" t="s">
        <v>1245</v>
      </c>
      <c r="E1080" s="8" t="s">
        <v>1246</v>
      </c>
      <c r="F1080" t="str">
        <f>IF(COUNTIFS('[1]25 November'!$E:$E,$D1080)&gt;0, "NEW FINDING", IF(COUNTIFS('[1]20 September New Socket'!E:E,$D1080)&gt;0,"PREVOUS REPORT","N/A"))</f>
        <v>NEW FINDING</v>
      </c>
    </row>
    <row r="1081" spans="1:6" x14ac:dyDescent="0.2">
      <c r="A1081" s="1">
        <v>45986</v>
      </c>
      <c r="B1081" s="4" t="s">
        <v>1247</v>
      </c>
      <c r="C1081" s="7"/>
      <c r="D1081" s="8" t="s">
        <v>1245</v>
      </c>
      <c r="E1081" s="8" t="s">
        <v>1248</v>
      </c>
      <c r="F1081" t="str">
        <f>IF(COUNTIFS('[1]25 November'!$E:$E,$D1081)&gt;0, "NEW FINDING", IF(COUNTIFS('[1]20 September New Socket'!E:E,$D1081)&gt;0,"PREVOUS REPORT","N/A"))</f>
        <v>NEW FINDING</v>
      </c>
    </row>
  </sheetData>
  <hyperlinks>
    <hyperlink ref="B1" r:id="rId1" display="https://socket.dev/npm/package/@accordproject/concerto-analysis/overview/3.24.1" xr:uid="{5D7A37D9-68C8-4646-A8F9-1FB1FDECEA2E}"/>
    <hyperlink ref="B2" r:id="rId2" display="https://socket.dev/npm/package/@accordproject/concerto-linter/overview/3.24.1" xr:uid="{AD7B5316-A6D3-214E-8EEC-D897C4CE39DC}"/>
    <hyperlink ref="B3" r:id="rId3" display="https://socket.dev/npm/package/@accordproject/concerto-linter-default-ruleset/overview/3.24.1" xr:uid="{B4BAB96F-ECCE-3448-A7CD-42F8A375F862}"/>
    <hyperlink ref="B4" r:id="rId4" display="https://socket.dev/npm/package/@accordproject/concerto-metamodel/overview/3.12.5" xr:uid="{B7190FCC-70C9-4F46-BB22-8FC75B498B6C}"/>
    <hyperlink ref="B5" r:id="rId5" display="https://socket.dev/npm/package/@accordproject/concerto-types/overview/3.24.1" xr:uid="{B0752BB0-3394-8E4D-BB0A-E43271159E81}"/>
    <hyperlink ref="B6" r:id="rId6" display="https://socket.dev/npm/package/@accordproject/markdown-it-cicero/overview/0.16.26" xr:uid="{672054EE-B83E-D042-A3CE-8870E7C29173}"/>
    <hyperlink ref="B7" r:id="rId7" display="https://socket.dev/npm/package/@accordproject/template-engine/overview/2.7.2" xr:uid="{ED892628-690F-D541-847C-6DC686CED149}"/>
    <hyperlink ref="B8" r:id="rId8" display="https://socket.dev/npm/package/@actbase/css-to-react-native-transform/overview/1.0.3" xr:uid="{002327E0-F5DE-DE4A-84E8-43C6D2204DCA}"/>
    <hyperlink ref="B9" r:id="rId9" display="https://socket.dev/npm/package/@actbase/native/overview/0.1.32" xr:uid="{4192AD11-208E-7246-AFFE-5D37A3E91883}"/>
    <hyperlink ref="B10" r:id="rId10" display="https://socket.dev/npm/package/@actbase/node-server/overview/1.1.19" xr:uid="{0751AE94-4239-5F41-AC92-CDDC79E8D458}"/>
    <hyperlink ref="B11" r:id="rId11" display="https://socket.dev/npm/package/@actbase/react-absolute/overview/0.8.3" xr:uid="{8A5EA74F-4736-C048-B37C-F05882A07CCB}"/>
    <hyperlink ref="B12" r:id="rId12" display="https://socket.dev/npm/package/@actbase/react-daum-postcode/overview/1.0.5" xr:uid="{F46C1DB9-91DE-1747-8D42-267A60A1723C}"/>
    <hyperlink ref="B13" r:id="rId13" display="https://socket.dev/npm/package/@actbase/react-kakaosdk/overview/0.9.27" xr:uid="{46D4F6DC-E240-CF4A-999B-7802270B7C49}"/>
    <hyperlink ref="B14" r:id="rId14" display="https://socket.dev/npm/package/@actbase/react-native-actionsheet/overview/1.0.3" xr:uid="{C5B68FFD-3E2D-9947-9D44-F9300D853B76}"/>
    <hyperlink ref="B15" r:id="rId15" display="https://socket.dev/npm/package/@actbase/react-native-devtools/overview/0.1.3" xr:uid="{414C1AB4-E8B4-004D-A16E-DD8908A99FB0}"/>
    <hyperlink ref="B16" r:id="rId16" display="https://socket.dev/npm/package/@actbase/react-native-fast-image/overview/8.5.13" xr:uid="{35AD5490-18A7-4148-874B-E2852BEA13A1}"/>
    <hyperlink ref="B17" r:id="rId17" display="https://socket.dev/npm/package/@actbase/react-native-kakao-channel/overview/1.0.2" xr:uid="{7E087AFC-7BB0-2E4C-B7B3-EAB0AA1DA990}"/>
    <hyperlink ref="B18" r:id="rId18" display="https://socket.dev/npm/package/@actbase/react-native-kakao-navi/overview/2.0.4" xr:uid="{B679C092-444F-9242-A402-B87CE9A7043A}"/>
    <hyperlink ref="B19" r:id="rId19" display="https://socket.dev/npm/package/@actbase/react-native-less-transformer/overview/1.0.6" xr:uid="{071362E6-C077-724B-90E5-4CCDA24C70A2}"/>
    <hyperlink ref="B20" r:id="rId20" display="https://socket.dev/npm/package/@actbase/react-native-naver-login/overview/1.0.1" xr:uid="{079825A0-CD67-1940-A637-961AE8C53163}"/>
    <hyperlink ref="B21" r:id="rId21" display="https://socket.dev/npm/package/@actbase/react-native-simple-video/overview/1.0.13" xr:uid="{85179EB1-0223-4C47-960E-2BAA6DF48DDD}"/>
    <hyperlink ref="B22" r:id="rId22" display="https://socket.dev/npm/package/@actbase/react-native-tiktok/overview/1.1.3" xr:uid="{E78503D4-4E00-FC47-B471-236017CE8A03}"/>
    <hyperlink ref="B23" r:id="rId23" display="https://socket.dev/npm/package/@afetcan/api/files/0.0.13" xr:uid="{B1C050D2-E34D-DD46-9DFD-27C6B159ECB4}"/>
    <hyperlink ref="B24" r:id="rId24" display="https://socket.dev/npm/package/@afetcan/storage/files/0.0.27" xr:uid="{5F37E0F3-AF40-DE43-80A8-B4F0ABF4143B}"/>
    <hyperlink ref="B25" r:id="rId25" display="https://socket.dev/npm/package/@alaan/s2s-auth/overview/2.0.3" xr:uid="{BF13EC28-9070-AE42-AF79-CF14A153A856}"/>
    <hyperlink ref="B26" r:id="rId26" display="https://socket.dev/npm/package/@alexadark/amadeus-api/overview/1.0.4" xr:uid="{CEA632CA-26A1-2842-A0E9-A45E9CCE9C76}"/>
    <hyperlink ref="B27" r:id="rId27" display="https://socket.dev/npm/package/@alexadark/gatsby-theme-events/overview/1.0.1" xr:uid="{2AFC1724-4FCA-C24D-A325-E767E344E5DF}"/>
    <hyperlink ref="B28" r:id="rId28" display="https://socket.dev/npm/package/@alexadark/gatsby-theme-wordpress-blog/overview/2.0.1" xr:uid="{1367DB10-64DC-C140-B7B4-42FFA74EE60F}"/>
    <hyperlink ref="B29" r:id="rId29" display="https://socket.dev/npm/package/@alexadark/reusable-functions/overview/1.5.1" xr:uid="{F3D4A051-6954-6743-9133-0C330081376C}"/>
    <hyperlink ref="B30" r:id="rId30" display="https://socket.dev/npm/package/@antstackio/eslint-config-antstack/overview/0.0.3" xr:uid="{460CB83F-AC80-5D4B-AB2C-103B0C34ACA6}"/>
    <hyperlink ref="B31" r:id="rId31" display="https://socket.dev/npm/package/@antstackio/express-graphql-proxy/overview/0.2.8" xr:uid="{E7FE2E52-B800-5045-AD6D-CB1ACAAE57C9}"/>
    <hyperlink ref="B32" r:id="rId32" display="https://socket.dev/npm/package/@antstackio/graphql-body-parser/overview/0.1.1" xr:uid="{25DB857B-6458-E845-9CD1-1E13526CB3F1}"/>
    <hyperlink ref="B33" r:id="rId33" display="https://socket.dev/npm/package/@antstackio/json-to-graphql/overview/1.0.3" xr:uid="{52128A73-F46D-DD4C-8300-4142CDFD39B5}"/>
    <hyperlink ref="B34" r:id="rId34" display="https://socket.dev/npm/package/@antstackio/shelbysam/overview/1.1.7" xr:uid="{55EA0806-5DCD-5342-AE44-8E7570F0CEBE}"/>
    <hyperlink ref="B35" r:id="rId35" display="https://socket.dev/npm/package/@aryanhussain/my-angular-lib/overview/0.0.23" xr:uid="{9D9DB5AB-8A1A-7E4E-83DB-BB9F636B7040}"/>
    <hyperlink ref="B36" r:id="rId36" display="https://socket.dev/npm/package/@asyncapi/avro-schema-parser" xr:uid="{402B42DD-E8DE-8C45-869F-BB4879C36861}"/>
    <hyperlink ref="B37" r:id="rId37" display="https://socket.dev/npm/package/@asyncapi/avro-schema-parser/overview/3.0.26" xr:uid="{AC4B6145-F8F7-1540-A3A3-09FA588A8C70}"/>
    <hyperlink ref="B38" r:id="rId38" display="https://socket.dev/npm/package/@asyncapi/bundler/overview/0.6.6" xr:uid="{358BE934-CD80-3E47-95D8-B7DA6588ECE8}"/>
    <hyperlink ref="B39" r:id="rId39" display="https://socket.dev/npm/package/@asyncapi/cli" xr:uid="{C2300D21-7A7F-CE41-A2AD-4D2A3247CA13}"/>
    <hyperlink ref="B40" r:id="rId40" display="https://socket.dev/npm/package/@asyncapi/cli/overview/4.1.3" xr:uid="{B5A923A3-DCC2-E241-BD26-A8828CAB2538}"/>
    <hyperlink ref="B41" r:id="rId41" display="https://socket.dev/npm/package/@asyncapi/converter" xr:uid="{F6FAAF39-05B9-F949-A810-D3F439D37A04}"/>
    <hyperlink ref="B42" r:id="rId42" display="https://socket.dev/npm/package/@asyncapi/converter/overview/1.6.4" xr:uid="{D51FA528-D0D3-7F4C-A52E-4CDE4D594F57}"/>
    <hyperlink ref="B43" r:id="rId43" display="https://socket.dev/npm/package/@asyncapi/diff" xr:uid="{CFA349DE-6B1C-EB47-AF94-DBC415271CDF}"/>
    <hyperlink ref="B44" r:id="rId44" display="https://socket.dev/npm/package/@asyncapi/diff/overview/0.5.2" xr:uid="{5EA3D7AB-BC1E-9C42-A76D-82CD0A7E9DED}"/>
    <hyperlink ref="B45" r:id="rId45" display="https://socket.dev/npm/package/@asyncapi/dotnet-rabbitmq-template" xr:uid="{089DA3F7-A33F-3B4E-BD76-D1B107561029}"/>
    <hyperlink ref="B46" r:id="rId46" display="https://socket.dev/npm/package/@asyncapi/dotnet-rabbitmq-template/overview/1.0.2" xr:uid="{12272146-B2C2-044A-8DA2-8B32A983F232}"/>
    <hyperlink ref="B47" r:id="rId47" display="https://socket.dev/npm/package/@asyncapi/edavisualiser" xr:uid="{7404E7FF-E636-7342-8190-5284278F66F2}"/>
    <hyperlink ref="B48" r:id="rId48" display="https://socket.dev/npm/package/@asyncapi/edavisualiser/overview/1.2.2" xr:uid="{1FE985DA-934E-D242-9065-308F45DBBFB8}"/>
    <hyperlink ref="B49" r:id="rId49" display="https://socket.dev/npm/package/@asyncapi/generator" xr:uid="{D38C8A1F-F2D6-FC49-86C5-CC04408A3B97}"/>
    <hyperlink ref="B50" r:id="rId50" display="https://socket.dev/npm/package/@asyncapi/generator/overview/2.8.6" xr:uid="{924F0E4F-0E0A-B842-97F3-D233CFD9D4CB}"/>
    <hyperlink ref="B51" r:id="rId51" display="https://socket.dev/npm/package/@asyncapi/generator-components" xr:uid="{4D637CC9-AFE5-2E46-B743-4776D09DB668}"/>
    <hyperlink ref="B52" r:id="rId52" display="https://socket.dev/npm/package/@asyncapi/generator-components/overview/0.3.3" xr:uid="{5BC585C0-35E6-2645-9306-9C09D678DD31}"/>
    <hyperlink ref="B53" r:id="rId53" display="https://socket.dev/npm/package/@asyncapi/generator-helpers" xr:uid="{60DD78C0-CCEB-D042-B75B-8D165BE23088}"/>
    <hyperlink ref="B54" r:id="rId54" display="https://socket.dev/npm/package/@asyncapi/generator-helpers/overview/0.2.2" xr:uid="{B591094A-5D72-5843-A1B5-E76CE3E12DE9}"/>
    <hyperlink ref="B55" r:id="rId55" display="https://socket.dev/npm/package/@asyncapi/generator-react-sdk" xr:uid="{91446A80-8D40-5745-8C16-B49773FDB08D}"/>
    <hyperlink ref="B56" r:id="rId56" display="https://socket.dev/npm/package/@asyncapi/generator-react-sdk/overview/1.1.5" xr:uid="{4A162F8A-EE72-3A40-A296-82487DC9254B}"/>
    <hyperlink ref="B57" r:id="rId57" display="https://socket.dev/npm/package/@asyncapi/go-watermill-template" xr:uid="{5CE08882-F03A-044C-9679-6CEAA83A8493}"/>
    <hyperlink ref="B58" r:id="rId58" display="https://socket.dev/npm/package/@asyncapi/go-watermill-template/overview/0.2.77" xr:uid="{50B14C4D-38F5-714B-AC6A-B12FE6B1381E}"/>
    <hyperlink ref="B59" r:id="rId59" display="https://socket.dev/npm/package/@asyncapi/html-template" xr:uid="{65CE17D6-2C72-4848-9990-529149C2962E}"/>
    <hyperlink ref="B60" r:id="rId60" display="https://socket.dev/npm/package/@asyncapi/html-template/overview/3.3.3" xr:uid="{9BB7CD51-45CD-BD41-98BA-642BBF904F22}"/>
    <hyperlink ref="B61" r:id="rId61" display="https://socket.dev/npm/package/@asyncapi/java-spring-cloud-stream-template" xr:uid="{816B0F81-8959-714D-828B-DC822A4849D7}"/>
    <hyperlink ref="B62" r:id="rId62" display="https://socket.dev/npm/package/@asyncapi/java-spring-cloud-stream-template/overview/0.13.6" xr:uid="{4F42C743-11C5-5E42-AA36-86EC4A0B374C}"/>
    <hyperlink ref="B63" r:id="rId63" display="https://socket.dev/npm/package/@asyncapi/java-spring-template" xr:uid="{7557DBE9-7760-FF4A-B50B-C45431B13698}"/>
    <hyperlink ref="B64" r:id="rId64" display="https://socket.dev/npm/package/@asyncapi/java-spring-template/overview/1.6.2" xr:uid="{84C39BE7-CC82-1B43-B1B7-6F1A3450BE5D}"/>
    <hyperlink ref="B65" r:id="rId65" display="https://socket.dev/npm/package/@asyncapi/java-template" xr:uid="{12610866-E7DF-3D45-B162-9E8FD1847CA5}"/>
    <hyperlink ref="B66" r:id="rId66" display="https://socket.dev/npm/package/@asyncapi/java-template/overview/0.3.6" xr:uid="{96974FB8-0319-6C40-8E25-C6DA3A18D002}"/>
    <hyperlink ref="B67" r:id="rId67" display="https://socket.dev/npm/package/@asyncapi/keeper" xr:uid="{42249A3E-C5A3-CE4E-8395-A1D78969F9F6}"/>
    <hyperlink ref="B68" r:id="rId68" display="https://socket.dev/npm/package/@asyncapi/keeper/overview/0.0.3" xr:uid="{F2C2E46A-86E4-304E-B8E3-500D1D145E12}"/>
    <hyperlink ref="B69" r:id="rId69" display="https://socket.dev/npm/package/@asyncapi/modelina" xr:uid="{2A027837-9389-E04B-B294-27F1EFBC3BC4}"/>
    <hyperlink ref="B70" r:id="rId70" display="https://socket.dev/npm/package/@asyncapi/modelina/overview/5.10.3" xr:uid="{43811F00-0E69-8747-8EC1-D663DE54B1DC}"/>
    <hyperlink ref="B71" r:id="rId71" display="https://socket.dev/npm/package/@asyncapi/modelina-cli" xr:uid="{273FAF1A-191C-4247-A58F-93053DBDA783}"/>
    <hyperlink ref="B72" r:id="rId72" display="https://socket.dev/npm/package/@asyncapi/modelina-cli/overview/5.10.3" xr:uid="{299F02C6-D858-164F-B2B6-084060D3C815}"/>
    <hyperlink ref="B73" r:id="rId73" display="https://socket.dev/npm/package/@asyncapi/multi-parser" xr:uid="{94561764-899A-A24B-80C7-49D0FB927585}"/>
    <hyperlink ref="B74" r:id="rId74" display="https://socket.dev/npm/package/@asyncapi/multi-parser/overview/2.2.2" xr:uid="{BD932688-F8C3-BF40-AB13-6C28F3FBF6C1}"/>
    <hyperlink ref="B75" r:id="rId75" display="https://socket.dev/npm/package/@asyncapi/nodejs-template" xr:uid="{2DDC0223-99BF-4D46-A236-1C567F8CA32C}"/>
    <hyperlink ref="B76" r:id="rId76" display="https://socket.dev/npm/package/@asyncapi/nodejs-template/overview/3.0.6" xr:uid="{F257C674-1094-4C44-A37D-EC4F1DEDE7A3}"/>
    <hyperlink ref="B77" r:id="rId77" display="https://socket.dev/npm/package/@asyncapi/nodejs-ws-template" xr:uid="{1B3B6FDD-2928-4041-A6ED-9840ACBB8C05}"/>
    <hyperlink ref="B78" r:id="rId78" display="https://socket.dev/npm/package/@asyncapi/nodejs-ws-template/overview/0.10.2" xr:uid="{FE7931BD-6A6F-EF49-9BE9-442D1B7B9759}"/>
    <hyperlink ref="B79" r:id="rId79" display="https://socket.dev/npm/package/@asyncapi/nunjucks-filters" xr:uid="{D8EA271C-0FFC-364D-9C03-16BA02B5E7DE}"/>
    <hyperlink ref="B80" r:id="rId80" display="https://socket.dev/npm/package/@asyncapi/nunjucks-filters/overview/2.1.2" xr:uid="{599664C8-9C58-D549-B0FB-9785CD029C0A}"/>
    <hyperlink ref="B81" r:id="rId81" display="https://socket.dev/npm/package/@asyncapi/openapi-schema-parser" xr:uid="{002D2475-9AC7-DE44-BC2A-24F70FF21604}"/>
    <hyperlink ref="B82" r:id="rId82" display="https://socket.dev/npm/package/@asyncapi/openapi-schema-parser/overview/3.0.26" xr:uid="{3D3C3C8F-F9BD-964C-AD74-F514457526DD}"/>
    <hyperlink ref="B83" r:id="rId83" display="https://socket.dev/npm/package/@asyncapi/optimizer" xr:uid="{6F0889ED-79F4-E84A-88FF-1B4582E3E1B1}"/>
    <hyperlink ref="B84" r:id="rId84" display="https://socket.dev/npm/package/@asyncapi/optimizer/overview/1.0.6" xr:uid="{6838EBA5-ADC5-A04E-9CCA-1BBFD3ED2140}"/>
    <hyperlink ref="B85" r:id="rId85" display="https://socket.dev/npm/package/@asyncapi/parser" xr:uid="{28577D39-A6C5-444F-9B71-A64299616C95}"/>
    <hyperlink ref="B86" r:id="rId86" display="https://socket.dev/npm/package/@asyncapi/parser/overview/3.4.2" xr:uid="{DA02AA3D-77B6-B345-A785-6203484EF6B2}"/>
    <hyperlink ref="B87" r:id="rId87" display="https://socket.dev/npm/package/@asyncapi/php-template" xr:uid="{0B4462AC-83F1-F344-A040-3D14CC993AA2}"/>
    <hyperlink ref="B88" r:id="rId88" display="https://socket.dev/npm/package/@asyncapi/php-template/overview/0.1.2" xr:uid="{926F8BB6-DC08-8C4F-ADD2-41DE2D06D833}"/>
    <hyperlink ref="B89" r:id="rId89" display="https://socket.dev/npm/package/@asyncapi/problem" xr:uid="{40AA47C5-2E7C-D948-AF7C-F5F0ECAD5884}"/>
    <hyperlink ref="B90" r:id="rId90" display="https://socket.dev/npm/package/@asyncapi/problem/overview/1.0.2" xr:uid="{B41B4563-0199-CB44-806B-B7D03FEBF2FE}"/>
    <hyperlink ref="B91" r:id="rId91" display="https://socket.dev/npm/package/@asyncapi/protobuf-schema-parser/overview/3.5.3" xr:uid="{83F5E559-0AD9-6C4E-B672-2CB839C4259E}"/>
    <hyperlink ref="B92" r:id="rId92" display="https://socket.dev/npm/package/@asyncapi/python-paho-template" xr:uid="{DC79EC79-542D-CE4B-A0BA-2A4C52A55188}"/>
    <hyperlink ref="B93" r:id="rId93" display="https://socket.dev/npm/package/@asyncapi/python-paho-template/overview/0.2.15" xr:uid="{173D5636-9FF3-0043-9616-34ED28BEF8BB}"/>
    <hyperlink ref="B94" r:id="rId94" display="https://socket.dev/npm/package/@asyncapi/react-component" xr:uid="{F1B592A6-7B06-974D-922B-7FBF1BE50EA9}"/>
    <hyperlink ref="B95" r:id="rId95" display="https://socket.dev/npm/package/@asyncapi/react-component/overview/2.6.7" xr:uid="{F516EF5B-B7A6-DB4B-8DF2-3F60C4629768}"/>
    <hyperlink ref="B96" r:id="rId96" display="https://socket.dev/npm/package/@asyncapi/server-api" xr:uid="{39ADD477-02E6-4144-9977-A3C2A733610A}"/>
    <hyperlink ref="B97" r:id="rId97" display="https://socket.dev/npm/package/@asyncapi/server-api/overview/0.16.25" xr:uid="{8345ADAA-B5BF-834F-A6A1-31F6E13DF426}"/>
    <hyperlink ref="B98" r:id="rId98" display="https://socket.dev/npm/package/@asyncapi/specs/overview/6.8.3" xr:uid="{754E6A91-E603-6846-928F-758F5325D3A4}"/>
    <hyperlink ref="B99" r:id="rId99" display="https://socket.dev/npm/package/@asyncapi/studio" xr:uid="{AC330509-C37A-C445-AB4C-A8AD6756C93F}"/>
    <hyperlink ref="B100" r:id="rId100" display="https://socket.dev/npm/package/@asyncapi/studio/overview/1.0.3" xr:uid="{A8C37884-9E29-4D4C-B1FF-4C5445A23AF6}"/>
    <hyperlink ref="B101" r:id="rId101" display="https://socket.dev/npm/package/@asyncapi/web-component" xr:uid="{72E0CC73-1B55-D747-BC2E-7F799B632B6F}"/>
    <hyperlink ref="B102" r:id="rId102" display="https://socket.dev/npm/package/@asyncapi/web-component/overview/2.6.7" xr:uid="{17DCCA3C-1CB9-F44C-846E-B3A3AFCD006E}"/>
    <hyperlink ref="B103" r:id="rId103" display="https://socket.dev/npm/package/@bdkinc/knex-ibmi" xr:uid="{A80423D2-0712-CB41-8CB1-19DEF3940496}"/>
    <hyperlink ref="B104" r:id="rId104" display="https://socket.dev/npm/package/@browserbasehq/bb9" xr:uid="{F0BFA738-B391-F94B-9C3D-B3FDB677BB04}"/>
    <hyperlink ref="B105" r:id="rId105" display="https://socket.dev/npm/package/@browserbasehq/director-ai" xr:uid="{F7071FE5-CA1D-3C4B-A859-E0DBEFC58B13}"/>
    <hyperlink ref="B106" r:id="rId106" display="https://socket.dev/npm/package/@browserbasehq/mcp" xr:uid="{82D2202B-22E9-5C4F-B40E-950C37E48D48}"/>
    <hyperlink ref="B107" r:id="rId107" display="https://socket.dev/npm/package/@browserbasehq/mcp-server-browserbase" xr:uid="{DEEC156F-C807-D341-9D89-E7B4FCF584E6}"/>
    <hyperlink ref="B108" r:id="rId108" display="https://socket.dev/npm/package/@browserbasehq/sdk-functions" xr:uid="{726E032F-55D5-A44A-BF82-A96F9072165E}"/>
    <hyperlink ref="B109" r:id="rId109" display="https://socket.dev/npm/package/@browserbasehq/stagehand" xr:uid="{1A54968D-4F98-4048-960F-53591C6A94D0}"/>
    <hyperlink ref="B110" r:id="rId110" display="https://socket.dev/npm/package/@browserbasehq/stagehand-docs" xr:uid="{8F3F1047-748E-284E-A17C-61BDEF159EF9}"/>
    <hyperlink ref="B111" r:id="rId111" display="https://socket.dev/npm/package/@caretive/caret-cli/overview/0.0.2" xr:uid="{22ED118B-DDFE-C54A-A69F-3DD926C59A57}"/>
    <hyperlink ref="B112" r:id="rId112" display="https://socket.dev/npm/package/@chtijs/eslint-config" xr:uid="{98420446-8369-8E41-8F21-CF2B8ED99F36}"/>
    <hyperlink ref="B113" r:id="rId113" display="https://socket.dev/npm/package/@clausehq/flows-step-httprequest/overview/0.1.14" xr:uid="{05C7FE5F-324D-C146-AB6B-2DC36705AD59}"/>
    <hyperlink ref="B114" r:id="rId114" display="https://socket.dev/npm/package/@clausehq/flows-step-jsontoxml/overview/0.1.14" xr:uid="{4A75B32E-943C-B14C-B4C8-6E1719ADCE6B}"/>
    <hyperlink ref="B115" r:id="rId115" display="https://socket.dev/npm/package/@clausehq/flows-step-mqtt/overview/0.1.14" xr:uid="{8BC14DB0-9369-3240-B7FA-073EDB18AB71}"/>
    <hyperlink ref="B116" r:id="rId116" display="https://socket.dev/npm/package/@clausehq/flows-step-sendgridemail/overview/0.1.14" xr:uid="{90A6F240-9EEF-554B-B593-481D7F635ABD}"/>
    <hyperlink ref="B117" r:id="rId117" display="https://socket.dev/npm/package/@clausehq/flows-step-taskscreateurl/overview/0.1.14" xr:uid="{18C00E8E-B1CF-D84F-AF64-C7E1D9B8ABAC}"/>
    <hyperlink ref="B118" r:id="rId118" display="https://socket.dev/npm/package/@cllbk/ghl" xr:uid="{A0C6FEF2-E4EB-AF4D-8B6B-C0595F021B63}"/>
    <hyperlink ref="B119" r:id="rId119" display="https://socket.dev/npm/package/@commute/bloom/overview/1.0.3" xr:uid="{A8D77B8A-D1BC-334B-BC40-D4630A17C203}"/>
    <hyperlink ref="B120" r:id="rId120" display="https://socket.dev/npm/package/@commute/market-data/overview/1.0.2" xr:uid="{47B109DE-74FD-0C40-AD96-0FFE14B04CBF}"/>
    <hyperlink ref="B121" r:id="rId121" display="https://socket.dev/npm/package/@commute/market-data-chartjs/overview/2.3.1" xr:uid="{8CFDF988-F2DE-1442-9510-9E51BD4DB751}"/>
    <hyperlink ref="B122" r:id="rId122" display="https://socket.dev/npm/package/@dev-blinq/ai-qa-logic/overview/1.0.19" xr:uid="{F9A4D790-0998-3748-B38B-8F41E2CDAACF}"/>
    <hyperlink ref="B123" r:id="rId123" display="https://socket.dev/npm/package/@dev-blinq/blinqioclient/files/1.0.21" xr:uid="{9066DB66-66D5-8A44-BA88-44335835A138}"/>
    <hyperlink ref="B124" r:id="rId124" display="https://socket.dev/npm/package/@dev-blinq/cucumber_client/overview/1.0.738" xr:uid="{2AC6133F-2E62-7E45-A7AA-E099381F8C52}"/>
    <hyperlink ref="B125" r:id="rId125" display="https://socket.dev/npm/package/@dev-blinq/cucumber-js/overview/1.0.131" xr:uid="{31BBC959-27F1-F64D-B4A6-D613ADDBC68A}"/>
    <hyperlink ref="B126" r:id="rId126" display="https://socket.dev/npm/package/@dev-blinq/ui-systems/overview/1.0.93" xr:uid="{CF4AA1FD-BBCF-1841-A00E-E4ECFE0670B0}"/>
    <hyperlink ref="B127" r:id="rId127" display="https://socket.dev/npm/package/@ensdomains/address-encoder/overview/1.1.5" xr:uid="{F91E7592-D222-9249-884C-D332C2CB5FCD}"/>
    <hyperlink ref="B128" r:id="rId128" display="https://socket.dev/npm/package/@ensdomains/blacklist/overview/1.0.1" xr:uid="{D47F8489-E7B6-2B40-A591-5B9718EAA101}"/>
    <hyperlink ref="B129" r:id="rId129" display="https://socket.dev/npm/package/@ensdomains/buffer/overview/0.1.2" xr:uid="{18A3C586-C68C-0543-A407-C0B8786D287E}"/>
    <hyperlink ref="B130" r:id="rId130" display="https://socket.dev/npm/package/@ensdomains/ccip-read-cf-worker/overview/0.0.4" xr:uid="{78A93C2F-1823-2F48-976C-9EA64A774E88}"/>
    <hyperlink ref="B131" r:id="rId131" display="https://socket.dev/npm/package/@ensdomains/ccip-read-dns-gateway/overview/0.1.1" xr:uid="{99576C41-5F0F-2D4F-8DF6-F8B304FD9DBC}"/>
    <hyperlink ref="B132" r:id="rId132" display="https://socket.dev/npm/package/@ensdomains/ccip-read-router/overview/0.0.7" xr:uid="{025620D8-E55B-A744-ABCA-C3ECC96E8B43}"/>
    <hyperlink ref="B133" r:id="rId133" display="https://socket.dev/npm/package/@ensdomains/ccip-read-worker-viem/overview/0.0.4" xr:uid="{F5FC87E9-5300-FE4E-A37F-D42C0AB78FA9}"/>
    <hyperlink ref="B134" r:id="rId134" display="https://socket.dev/npm/package/@ensdomains/content-hash/overview/3.0.1" xr:uid="{CB9097EF-1F4E-F647-B979-3A3901AA036A}"/>
    <hyperlink ref="B135" r:id="rId135" display="https://socket.dev/npm/package/@ensdomains/curvearithmetics/overview/1.0.1" xr:uid="{4F6CA5C7-B926-B547-83E6-48AC5CFA0FCB}"/>
    <hyperlink ref="B136" r:id="rId136" display="https://socket.dev/npm/package/@ensdomains/cypress-metamask/overview/1.2.1" xr:uid="{973305A1-FC20-1C42-A75B-F97C54F1E9AC}"/>
    <hyperlink ref="B137" r:id="rId137" display="https://socket.dev/npm/package/@ensdomains/dnsprovejs/overview/0.5.3" xr:uid="{9F088A27-482A-2C49-AB79-588873D85083}"/>
    <hyperlink ref="B138" r:id="rId138" display="https://socket.dev/npm/package/@ensdomains/dnssec-oracle-anchors/overview/0.0.2" xr:uid="{B842024E-CC5F-6246-9AF6-2418EBCB1DAD}"/>
    <hyperlink ref="B139" r:id="rId139" display="https://socket.dev/npm/package/@ensdomains/dnssecoraclejs/overview/0.2.9" xr:uid="{908A36C2-5085-214B-BB0D-FF504588ECA9}"/>
    <hyperlink ref="B140" r:id="rId140" display="https://socket.dev/npm/package/@ensdomains/durin/overview/0.1.2" xr:uid="{392E0785-5B12-4541-8D90-A298BC78C085}"/>
    <hyperlink ref="B141" r:id="rId141" display="https://socket.dev/npm/package/@ensdomains/durin-middleware/overview/0.0.2" xr:uid="{6E4469CA-DD5C-A94B-9868-27054D879092}"/>
    <hyperlink ref="B142" r:id="rId142" display="https://socket.dev/npm/package/@ensdomains/ens-archived-contracts/overview/0.0.3" xr:uid="{79E58770-67A7-5040-9581-8CBED30CCFF6}"/>
    <hyperlink ref="B143" r:id="rId143" display="https://socket.dev/npm/package/@ensdomains/ens-avatar/overview/1.0.4" xr:uid="{45D2DA2C-FCB5-A045-804A-5398C5A7E458}"/>
    <hyperlink ref="B144" r:id="rId144" display="https://socket.dev/npm/package/@ensdomains/ens-contracts/overview/1.6.1" xr:uid="{B3D4B22A-2E23-9341-80E9-A9E8CCF46499}"/>
    <hyperlink ref="B145" r:id="rId145" display="https://socket.dev/npm/package/@ensdomains/ens-test-env/overview/1.0.2" xr:uid="{BB13AFD7-5E29-5D40-AFBE-9AABB01028A7}"/>
    <hyperlink ref="B146" r:id="rId146" display="https://socket.dev/npm/package/@ensdomains/ens-validation/overview/0.1.1" xr:uid="{28F38830-C4FF-2F42-B04A-205550B7D95E}"/>
    <hyperlink ref="B147" r:id="rId147" display="https://socket.dev/npm/package/@ensdomains/ensjs/overview/4.0.3" xr:uid="{957A51A6-8BEF-CF48-9037-205BD1E7BF47}"/>
    <hyperlink ref="B148" r:id="rId148" display="https://socket.dev/npm/package/@ensdomains/ensjs-react/overview/0.0.5" xr:uid="{9FA3D4E1-8EE2-D54C-8AF8-47FFF599D7EF}"/>
    <hyperlink ref="B149" r:id="rId149" display="https://socket.dev/npm/package/@ensdomains/eth-ens-namehash/overview/2.0.16" xr:uid="{0DD2AB91-B70F-5E4F-B428-0E9DC6B81202}"/>
    <hyperlink ref="B150" r:id="rId150" display="https://socket.dev/npm/package/@ensdomains/hackathon-registrar/overview/1.0.5" xr:uid="{BDFE90C0-6442-744C-9971-B1215FA6562C}"/>
    <hyperlink ref="B151" r:id="rId151" display="https://socket.dev/npm/package/@ensdomains/hardhat-chai-matchers-viem/overview/0.1.15" xr:uid="{B61F1FF9-B62A-DD40-94AD-F0D5986E3D87}"/>
    <hyperlink ref="B152" r:id="rId152" display="https://socket.dev/npm/package/@ensdomains/hardhat-toolbox-viem-extended/overview/0.0.6" xr:uid="{EAFAACCF-E5CC-FD40-869E-90ADF1C2C8E4}"/>
    <hyperlink ref="B153" r:id="rId153" display="https://socket.dev/npm/package/@ensdomains/mock/overview/2.1.52" xr:uid="{6547C1D8-092F-6148-9899-A895F8DF3440}"/>
    <hyperlink ref="B154" r:id="rId154" display="https://socket.dev/npm/package/@ensdomains/name-wrapper/overview/1.0.1" xr:uid="{DC607725-B807-2F47-80A2-70F83FEF077A}"/>
    <hyperlink ref="B155" r:id="rId155" display="https://socket.dev/npm/package/@ensdomains/offchain-resolver-contracts/overview/0.2.2" xr:uid="{FAFD0F7B-CA4F-6D49-9999-18A1901F12B3}"/>
    <hyperlink ref="B156" r:id="rId156" display="https://socket.dev/npm/package/@ensdomains/op-resolver-contracts/overview/0.0.2" xr:uid="{F3DE635A-98FA-5E42-911F-AA081CB242F5}"/>
    <hyperlink ref="B157" r:id="rId157" display="https://socket.dev/npm/package/@ensdomains/react-ens-address/overview/0.0.32" xr:uid="{6C7C8344-542B-CD40-8575-BCD80A255CFF}"/>
    <hyperlink ref="B158" r:id="rId158" display="https://socket.dev/npm/package/@ensdomains/renewal/overview/0.0.13" xr:uid="{5A2D5E28-470D-EC4B-B27E-5EECB51B4C71}"/>
    <hyperlink ref="B159" r:id="rId159" display="https://socket.dev/npm/package/@ensdomains/renewal-widget/overview/0.1.10" xr:uid="{CE1A573D-D51E-3545-AD2C-9764CE06DC04}"/>
    <hyperlink ref="B160" r:id="rId160" display="https://socket.dev/npm/package/@ensdomains/reverse-records/overview/1.0.1" xr:uid="{4B04F023-EB52-D446-BB6F-B30C6D1A1670}"/>
    <hyperlink ref="B161" r:id="rId161" display="https://socket.dev/npm/package/@ensdomains/server-analytics/overview/0.0.2" xr:uid="{023B5771-D6AC-2849-9F88-E00895E1FBCD}"/>
    <hyperlink ref="B162" r:id="rId162" display="https://socket.dev/npm/package/@ensdomains/solsha1/overview/0.0.4" xr:uid="{E9394319-E0AB-B94B-8F44-9B3917838ADA}"/>
    <hyperlink ref="B163" r:id="rId163" display="https://socket.dev/npm/package/@ensdomains/subdomain-registrar/overview/0.2.4" xr:uid="{FD75C5FA-6D39-BD40-8554-D3FC516B43B1}"/>
    <hyperlink ref="B164" r:id="rId164" display="https://socket.dev/npm/package/@ensdomains/test-utils/overview/1.3.1" xr:uid="{263DC46D-F4D4-1C4C-9419-1FF70443FC54}"/>
    <hyperlink ref="B165" r:id="rId165" display="https://socket.dev/npm/package/@ensdomains/thorin/overview/0.6.51" xr:uid="{BF43CB71-0CFE-3849-8A7C-05BE6B86610E}"/>
    <hyperlink ref="B166" r:id="rId166" display="https://socket.dev/npm/package/@ensdomains/ui/overview/3.4.6" xr:uid="{198AD4A8-F6AE-D342-9C52-50858E5C0091}"/>
    <hyperlink ref="B167" r:id="rId167" display="https://socket.dev/npm/package/@ensdomains/unicode-confusables/overview/0.1.1" xr:uid="{EFFDAF9A-809B-6948-A69B-8AFC6BCD431E}"/>
    <hyperlink ref="B168" r:id="rId168" display="https://socket.dev/npm/package/@ensdomains/unruggable-gateways/overview/0.0.3" xr:uid="{86F062D1-FE8D-B64A-A21D-D2BFF0F89030}"/>
    <hyperlink ref="B169" r:id="rId169" display="https://socket.dev/npm/package/@ensdomains/vite-plugin-i18next-loader/overview/4.0.4" xr:uid="{C21CB7B3-92C0-B847-B877-068F008E9C9B}"/>
    <hyperlink ref="B170" r:id="rId170" display="https://socket.dev/npm/package/@ensdomains/web3modal/overview/1.10.2" xr:uid="{B3664391-8649-2B48-8414-CCBE23078BD6}"/>
    <hyperlink ref="B171" r:id="rId171" display="https://socket.dev/npm/package/@everreal/react-charts/overview/2.0.2" xr:uid="{7CD8AFC2-E2E2-7A4C-B312-CA1E031C2696}"/>
    <hyperlink ref="B172" r:id="rId172" display="https://socket.dev/npm/package/@faq-component/core/overview/0.0.4" xr:uid="{549C443B-F22C-634F-ABCB-F958BA5B67E4}"/>
    <hyperlink ref="B173" r:id="rId173" display="https://socket.dev/npm/package/@faq-component/react/overview/1.0.1" xr:uid="{A12DB09C-F4DC-2047-9A8F-E924E47513F1}"/>
    <hyperlink ref="B174" r:id="rId174" display="https://socket.dev/npm/package/@fishingbooker/browser-sync-plugin/overview/1.0.5" xr:uid="{03C52F7A-5FFB-6941-B81B-0B8A667EF924}"/>
    <hyperlink ref="B175" r:id="rId175" display="https://socket.dev/npm/package/@fishingbooker/react-loader/overview/1.0.7" xr:uid="{0F1ABDE1-8FEB-9A4A-B216-9A185A5534F7}"/>
    <hyperlink ref="B176" r:id="rId176" display="https://socket.dev/npm/package/@fishingbooker/react-pagination/overview/2.0.6" xr:uid="{4E3FB963-B7E5-F345-86EB-D94E2FF392D0}"/>
    <hyperlink ref="B177" r:id="rId177" display="https://socket.dev/npm/package/@fishingbooker/react-raty/overview/2.0.1" xr:uid="{00FE8EDA-A33F-B748-984D-23D488720EF2}"/>
    <hyperlink ref="B178" r:id="rId178" display="https://socket.dev/npm/package/@fishingbooker/react-swiper/overview/0.1.5" xr:uid="{C07A0461-7870-6B48-A84E-61F75583867A}"/>
    <hyperlink ref="B179" r:id="rId179" display="https://socket.dev/npm/package/@hapheus/n8n-nodes-pgp/overview/1.5.1" xr:uid="{0B55EEEE-E2BD-E344-9366-93F21DF4B6A7}"/>
    <hyperlink ref="B180" r:id="rId180" display="https://socket.dev/npm/package/@hover-design/core/overview/0.0.1" xr:uid="{A312C87F-2696-5049-A223-70F0499A09D6}"/>
    <hyperlink ref="B181" r:id="rId181" display="https://socket.dev/npm/package/@hover-design/react/overview/0.2.1" xr:uid="{E1D2234C-80C9-724C-80D9-B8AE173F652A}"/>
    <hyperlink ref="B182" r:id="rId182" display="https://socket.dev/npm/package/@huntersofbook/auth-vue" xr:uid="{AB5B66A3-6570-284B-B4D5-3D1AF1D13F70}"/>
    <hyperlink ref="B183" r:id="rId183" display="https://socket.dev/npm/package/@huntersofbook/core" xr:uid="{AF32F15A-27D0-AE43-B8A2-472E3E50A43F}"/>
    <hyperlink ref="B184" r:id="rId184" display="https://socket.dev/npm/package/@huntersofbook/core-nuxt" xr:uid="{82CAD9E8-1D8D-0544-8935-EE69D587B361}"/>
    <hyperlink ref="B185" r:id="rId185" display="https://socket.dev/npm/package/@huntersofbook/form-naiveui/overview/0.5.1" xr:uid="{03D1BDF3-3DF0-6149-8F1B-94A0A3926E8C}"/>
    <hyperlink ref="B186" r:id="rId186" display="https://socket.dev/npm/package/@huntersofbook/i18n" xr:uid="{1EE492E4-1C1A-3F42-9E8E-858D7AA72219}"/>
    <hyperlink ref="B187" r:id="rId187" display="https://socket.dev/npm/package/@huntersofbook/ui" xr:uid="{61921959-0014-4341-BE57-7CCFCD9D39F8}"/>
    <hyperlink ref="B188" r:id="rId188" display="https://socket.dev/npm/package/@hyperlook/telemetry-sdk/files/1.0.19" xr:uid="{07A97CDD-D246-094A-8909-9CBFD162E184}"/>
    <hyperlink ref="B189" r:id="rId189" display="https://socket.dev/npm/package/@ifelsedeveloper/protocol-contracts-svm-idl/overview/0.1.2" xr:uid="{14086F6D-D045-DC48-AED5-4AF25F7A8CFD}"/>
    <hyperlink ref="B190" r:id="rId190" display="https://socket.dev/npm/package/@ifelsedeveloper/protocol-contracts-svm-idl" xr:uid="{F762803A-FBAD-1646-9808-64CAECD2567A}"/>
    <hyperlink ref="B191" r:id="rId191" display="http://socket.dev/npm/package/@ifings/design-system/files/4.9.2" xr:uid="{49A00EE5-4C72-7843-98AB-C862022EFFDC}"/>
    <hyperlink ref="B192" r:id="rId192" display="https://socket.dev/npm/package/@ifings/metatron3/overview/0.1.5" xr:uid="{0EBCC452-2620-A04B-983C-D72096C7DEC5}"/>
    <hyperlink ref="B193" r:id="rId193" display="https://socket.dev/npm/package/@jayeshsadhwani/telemetry-sdk" xr:uid="{4CB9BE37-81B9-DF41-8318-44535B0A2D92}"/>
    <hyperlink ref="B194" r:id="rId194" display="https://socket.dev/npm/package/@kvytech/cli/files/0.0.7" xr:uid="{33059E89-C44B-8848-8CAC-FE70426503FA}"/>
    <hyperlink ref="B195" r:id="rId195" display="https://socket.dev/npm/package/@kvytech/components/overview/0.0.2" xr:uid="{FF9402F3-1367-354B-B34F-43F2C87AE2BD}"/>
    <hyperlink ref="B196" r:id="rId196" display="https://socket.dev/npm/package/@kvytech/habbit-e2e-test/overview/0.0.2" xr:uid="{302DD5A7-91CF-F44A-893C-CF9727579A0B}"/>
    <hyperlink ref="B197" r:id="rId197" display="https://socket.dev/npm/package/@kvytech/medusa-plugin-announcement/overview/0.0.8" xr:uid="{9AA7A10D-6E87-A64D-A79D-2C1185A5B157}"/>
    <hyperlink ref="B198" r:id="rId198" display="https://socket.dev/npm/package/@kvytech/medusa-plugin-management/overview/0.0.5" xr:uid="{E7D184DD-88AC-B84E-8B27-14ABA504FB4C}"/>
    <hyperlink ref="B199" r:id="rId199" display="https://socket.dev/npm/package/@kvytech/medusa-plugin-newsletter/overview/0.0.5" xr:uid="{9554667B-F4F9-664C-A7F5-4E57547A16FF}"/>
    <hyperlink ref="B200" r:id="rId200" display="https://socket.dev/npm/package/@kvytech/medusa-plugin-product-reviews/overview/0.0.9" xr:uid="{1670F049-6BA6-9E47-9CD1-80ACB3F2668F}"/>
    <hyperlink ref="B201" r:id="rId201" display="https://socket.dev/npm/package/@kvytech/medusa-plugin-promotion/overview/0.0.2" xr:uid="{7A1EB507-4523-4B4C-8F76-75C0BFDD39E4}"/>
    <hyperlink ref="B202" r:id="rId202" display="https://socket.dev/npm/package/@kvytech/web/overview/0.0.2" xr:uid="{C4471358-CF3A-2E47-9BB4-9BF18C83309A}"/>
    <hyperlink ref="B203" r:id="rId203" display="https://socket.dev/npm/package/@lessondesk/api-client/overview/9.12.3" xr:uid="{339EC55B-C2AF-B447-951E-9F4049773AE6}"/>
    <hyperlink ref="B204" r:id="rId204" display="https://socket.dev/npm/package/@lessondesk/babel-preset/overview/1.0.1" xr:uid="{247EF807-76FE-9043-9C45-C575513AEC04}"/>
    <hyperlink ref="B205" r:id="rId205" display="https://socket.dev/npm/package/@lessondesk/electron-group-api-client/overview/1.0.3" xr:uid="{387F08EA-16B8-8343-A469-0B0EE99BBE2F}"/>
    <hyperlink ref="B206" r:id="rId206" display="https://socket.dev/npm/package/@lessondesk/eslint-config/overview/1.4.2" xr:uid="{33C32C3F-6289-3B47-983C-A170AFB71684}"/>
    <hyperlink ref="B207" r:id="rId207" display="https://socket.dev/npm/package/@lessondesk/material-icons/overview/1.0.3" xr:uid="{148EF1DE-CE62-B247-9D95-CC3825DF040A}"/>
    <hyperlink ref="B208" r:id="rId208" display="https://socket.dev/npm/package/@lessondesk/react-table-context/overview/2.0.4" xr:uid="{59333A15-6CA8-EB47-8BB2-F5FBAE642CE7}"/>
    <hyperlink ref="B209" r:id="rId209" display="https://socket.dev/npm/package/@livecms/live-edit" xr:uid="{D01DBC61-1418-B147-8C75-FDAC2ADDA071}"/>
    <hyperlink ref="B210" r:id="rId210" display="https://socket.dev/npm/package/@livecms/nuxt-live-edit" xr:uid="{BC497D2B-0615-344E-9480-E3CA94219817}"/>
    <hyperlink ref="B211" r:id="rId211" display="https://socket.dev/npm/package/@lokeswari-satyanarayanan/rn-zustand-expo-template" xr:uid="{2405B536-6C4D-8A4A-A696-4ACA08818305}"/>
    <hyperlink ref="B212" r:id="rId212" display="https://socket.dev/npm/package/@louisle2/core/overview/1.0.1" xr:uid="{ED34B6FE-F88F-4448-B919-A1E83A008220}"/>
    <hyperlink ref="B213" r:id="rId213" display="https://socket.dev/npm/package/@louisle2/cortex-js/overview/0.1.6" xr:uid="{AF4F2AFE-CD3E-204C-A298-7E5997A53389}"/>
    <hyperlink ref="B214" r:id="rId214" display="https://socket.dev/npm/package/@lpdjs/firestore-repo-service/overview/1.0.1" xr:uid="{FB75425E-3CCF-0448-B490-2396077A3AF9}"/>
    <hyperlink ref="B215" r:id="rId215" display="https://socket.dev/npm/package/@lui-ui/lui-nuxt" xr:uid="{0E4C4B1C-68DA-C342-A704-F933ED0A055F}"/>
    <hyperlink ref="B216" r:id="rId216" display="https://socket.dev/npm/package/@lui-ui/lui-tailwindcss" xr:uid="{412F2A4E-B869-0347-BAA6-46E7DA5B2B9E}"/>
    <hyperlink ref="B217" r:id="rId217" display="https://socket.dev/npm/package/@lui-ui/lui-vue" xr:uid="{EBB14AF6-AF55-1141-9CCB-D552692D10B8}"/>
    <hyperlink ref="B218" r:id="rId218" display="https://socket.dev/npm/package/@micado-digital/stadtmarketing-kufstein-external" xr:uid="{18AFC696-C1CF-8B4B-B705-87963628D486}"/>
    <hyperlink ref="B219" r:id="rId219" display="https://socket.dev/npm/package/@mizzle-dev/orm" xr:uid="{EC877734-C69B-5341-B9B5-1C5E7ED0B5AF}"/>
    <hyperlink ref="B220" r:id="rId220" display="https://socket.dev/npm/package/@ntnx/passport-wso2/overview/0.0.3" xr:uid="{74D24198-BFAE-8246-A1B6-71A6DF8F502F}"/>
    <hyperlink ref="B221" r:id="rId221" display="https://socket.dev/npm/package/@ntnx/t/overview/0.0.101" xr:uid="{2674A653-F027-C34E-95C3-47FF9145D3C4}"/>
    <hyperlink ref="B222" r:id="rId222" display="https://socket.dev/npm/package/@oku-ui/accordion" xr:uid="{C26191D6-D826-2F47-8408-C755111C997E}"/>
    <hyperlink ref="B223" r:id="rId223" display="https://socket.dev/npm/package/@oku-ui/alert-dialog" xr:uid="{07F859B1-00E2-E242-B190-C160D7479CF7}"/>
    <hyperlink ref="B224" r:id="rId224" display="https://socket.dev/npm/package/@oku-ui/arrow/files/0.6.2" xr:uid="{6B0FDAEF-C0FD-3242-9094-EA1E6D1D8B21}"/>
    <hyperlink ref="B225" r:id="rId225" display="https://socket.dev/npm/package/@oku-ui/aspect-ratio" xr:uid="{D296A9E3-D530-1345-B432-98F6D7F830CB}"/>
    <hyperlink ref="B226" r:id="rId226" display="https://socket.dev/npm/package/@oku-ui/avatar" xr:uid="{3B985214-51FD-C74A-A894-2CF59572FE43}"/>
    <hyperlink ref="B227" r:id="rId227" display="https://socket.dev/npm/package/@oku-ui/checkbox" xr:uid="{429EF6B5-A086-ED46-9F32-B2C6CB765877}"/>
    <hyperlink ref="B228" r:id="rId228" display="https://socket.dev/npm/package/@oku-ui/collapsible" xr:uid="{103E011D-FD81-9140-B160-E2F65C111292}"/>
    <hyperlink ref="B229" r:id="rId229" display="https://socket.dev/npm/package/@oku-ui/collection" xr:uid="{066BADBD-E2CF-2C43-B1B9-BA96E2208F61}"/>
    <hyperlink ref="B230" r:id="rId230" display="https://socket.dev/npm/package/@oku-ui/dialog" xr:uid="{B2CEFA27-D3EE-3E4A-9086-FAA4E0761778}"/>
    <hyperlink ref="B231" r:id="rId231" display="https://socket.dev/npm/package/@oku-ui/direction" xr:uid="{F8308359-CB39-D748-B088-10B6E859106A}"/>
    <hyperlink ref="B232" r:id="rId232" display="https://socket.dev/npm/package/@oku-ui/dismissable-layer" xr:uid="{7C7808D7-A757-E340-8DF3-20FD7DE40662}"/>
    <hyperlink ref="B233" r:id="rId233" display="https://socket.dev/npm/package/@oku-ui/focus-guards" xr:uid="{23D5AEEC-AEF1-5340-B0B9-4C9B37A9F921}"/>
    <hyperlink ref="B234" r:id="rId234" display="https://socket.dev/npm/package/@oku-ui/focus-scope" xr:uid="{BFE168A5-2A6C-F046-AA6F-01315CDE6B01}"/>
    <hyperlink ref="B235" r:id="rId235" display="https://socket.dev/npm/package/@oku-ui/hover-card" xr:uid="{3ABDB38E-004C-A34E-A730-956FD87D561D}"/>
    <hyperlink ref="B236" r:id="rId236" display="https://socket.dev/npm/package/@oku-ui/label" xr:uid="{3D318E81-0BFF-B349-BF8A-AEA6BCE8F0F9}"/>
    <hyperlink ref="B237" r:id="rId237" display="https://socket.dev/npm/package/@oku-ui/menu" xr:uid="{A3E71F4C-22AB-8249-AAC9-44EB71FB586F}"/>
    <hyperlink ref="B238" r:id="rId238" display="https://socket.dev/npm/package/@oku-ui/motion" xr:uid="{A0B4B13A-66B8-364B-845D-F0582620EE00}"/>
    <hyperlink ref="B239" r:id="rId239" display="https://socket.dev/npm/package/@oku-ui/motion-nuxt" xr:uid="{E987E191-0556-4E4B-88E8-AB4D39E7E605}"/>
    <hyperlink ref="B240" r:id="rId240" display="https://socket.dev/npm/package/@oku-ui/popover" xr:uid="{B195AD6F-7B41-234D-82A0-CF0B1D51C790}"/>
    <hyperlink ref="B241" r:id="rId241" display="https://socket.dev/npm/package/@oku-ui/popper" xr:uid="{67C10D7F-34ED-FD46-AE61-74961E9FBBBB}"/>
    <hyperlink ref="B242" r:id="rId242" display="https://socket.dev/npm/package/@oku-ui/portal" xr:uid="{A01DF67A-B2D3-8141-9069-B8F3C33A130D}"/>
    <hyperlink ref="B243" r:id="rId243" display="https://socket.dev/npm/package/@oku-ui/presence" xr:uid="{DD668811-41D7-8745-B89B-84ACEDDB5C6A}"/>
    <hyperlink ref="B244" r:id="rId244" display="https://socket.dev/npm/package/@oku-ui/primitive" xr:uid="{1C34F7C0-5F32-0344-862F-568978644222}"/>
    <hyperlink ref="B245" r:id="rId245" display="https://socket.dev/npm/package/@oku-ui/primitives" xr:uid="{89B7E0ED-5AFB-6246-A795-B7478D465694}"/>
    <hyperlink ref="B246" r:id="rId246" display="https://socket.dev/npm/package/@oku-ui/primitives-nuxt" xr:uid="{692FEB18-2901-934F-A872-51CD6361739E}"/>
    <hyperlink ref="B247" r:id="rId247" display="https://socket.dev/npm/package/@oku-ui/progress" xr:uid="{EC8BD95E-17E3-2941-994D-98421F1E762D}"/>
    <hyperlink ref="B248" r:id="rId248" display="https://socket.dev/npm/package/@oku-ui/provide" xr:uid="{1F730A36-659F-3343-BE83-C04A94AB2BD2}"/>
    <hyperlink ref="B249" r:id="rId249" display="https://socket.dev/npm/package/@oku-ui/radio-group" xr:uid="{B7E173BC-827D-5D47-BE22-4D6E5E36D8CC}"/>
    <hyperlink ref="B250" r:id="rId250" display="https://socket.dev/npm/package/@oku-ui/roving-focus" xr:uid="{8FD75316-97D9-CF4E-909B-2C9CFA65E1DD}"/>
    <hyperlink ref="B251" r:id="rId251" display="https://socket.dev/npm/package/@oku-ui/scroll-area" xr:uid="{AFE6F6DA-23AA-A945-9771-EA37C6201EC7}"/>
    <hyperlink ref="B252" r:id="rId252" display="https://socket.dev/npm/package/@oku-ui/separator" xr:uid="{77F1B0BE-9D4B-1549-9C5C-6044391B91B1}"/>
    <hyperlink ref="B253" r:id="rId253" display="https://socket.dev/npm/package/@oku-ui/slider" xr:uid="{90175C20-414D-8E45-BB9F-F4BA28C8E288}"/>
    <hyperlink ref="B254" r:id="rId254" display="https://socket.dev/npm/package/@oku-ui/slot/files/0.6.2" xr:uid="{5B0ECA2D-8139-7F45-88F0-1C34420EC7DF}"/>
    <hyperlink ref="B255" r:id="rId255" display="https://socket.dev/npm/package/@oku-ui/switch" xr:uid="{4E85D978-485E-5D4D-BAAF-394BCF0DFD03}"/>
    <hyperlink ref="B256" r:id="rId256" display="https://socket.dev/npm/package/@oku-ui/tabs" xr:uid="{3188DD9A-0F99-BB4E-9421-B08B3663A80D}"/>
    <hyperlink ref="B257" r:id="rId257" display="https://socket.dev/npm/package/@oku-ui/toast" xr:uid="{636FDD4A-8DAE-6E49-9588-A21C2BD38290}"/>
    <hyperlink ref="B258" r:id="rId258" display="https://socket.dev/npm/package/@oku-ui/toggle" xr:uid="{7678F033-EAFD-E84A-82C0-880005801E98}"/>
    <hyperlink ref="B259" r:id="rId259" display="https://socket.dev/npm/package/@oku-ui/toggle-group/overview/0.6.2" xr:uid="{FA7B8758-6121-7B49-8D99-51582AF933FF}"/>
    <hyperlink ref="B260" r:id="rId260" display="https://socket.dev/npm/package/@oku-ui/toolbar" xr:uid="{6115CACD-EEA7-624C-87B6-136E61A6C53D}"/>
    <hyperlink ref="B261" r:id="rId261" display="https://socket.dev/npm/package/@oku-ui/tooltip/files/0.6.2" xr:uid="{2C1E6891-F836-0546-90EA-92E09647D685}"/>
    <hyperlink ref="B262" r:id="rId262" display="https://socket.dev/npm/package/@oku-ui/use-composable" xr:uid="{91A0930D-C748-6A4C-97A8-36012B7CA5E0}"/>
    <hyperlink ref="B263" r:id="rId263" display="https://socket.dev/npm/package/@oku-ui/utils" xr:uid="{4F6A6867-DB53-5948-9051-679590F95E67}"/>
    <hyperlink ref="B264" r:id="rId264" display="https://socket.dev/npm/package/@oku-ui/visually-hidden" xr:uid="{1B6163BF-0351-9041-8EBD-48F741283AEE}"/>
    <hyperlink ref="B265" r:id="rId265" display="https://socket.dev/npm/package/@orbitgtbelgium/mapbox-gl-draw-cut-polygon-mode/overview/2.0.5" xr:uid="{3B0B1114-962E-6F40-A0B4-6CBEB5230428}"/>
    <hyperlink ref="B266" r:id="rId266" display="https://socket.dev/npm/package/@orbitgtbelgium/mapbox-gl-draw-scale-rotate-mode/overview/1.1.1" xr:uid="{B900B38D-30B7-7740-9D2C-368B5515231F}"/>
    <hyperlink ref="B267" r:id="rId267" display="https://socket.dev/npm/package/@orbitgtbelgium/orbit-components/overview/1.2.9" xr:uid="{0C0172AC-C36F-7149-988F-2DCC46584139}"/>
    <hyperlink ref="B268" r:id="rId268" display="https://socket.dev/npm/package/@orbitgtbelgium/time-slider/overview/1.0.187" xr:uid="{7E641E45-7F48-364B-9166-EA261FD5BBAF}"/>
    <hyperlink ref="B269" r:id="rId269" display="https://socket.dev/npm/package/@osmanekrem/bmad/overview/1.0.6" xr:uid="{51237322-21E4-2D45-9C12-94E0176049E5}"/>
    <hyperlink ref="B270" r:id="rId270" display="https://socket.dev/npm/package/@osmanekrem/error-handler/overview/1.2.2" xr:uid="{8873A7A0-7BA7-CD46-B4F7-024A1A8D0DD0}"/>
    <hyperlink ref="B271" r:id="rId271" display="https://socket.dev/npm/package/@pergel/cli" xr:uid="{3745FE49-F53A-B449-B161-771BFCF4F578}"/>
    <hyperlink ref="B272" r:id="rId272" display="https://socket.dev/npm/package/@pergel/module-box" xr:uid="{5B4B296A-5103-E342-B0FC-CC54EA2A9790}"/>
    <hyperlink ref="B273" r:id="rId273" display="https://socket.dev/npm/package/@pergel/module-graphql/overview/0.6.1" xr:uid="{24B7F334-1817-3F4D-B220-CCED5E2721BC}"/>
    <hyperlink ref="B274" r:id="rId274" display="https://socket.dev/npm/package/@pergel/module-ui" xr:uid="{9FC13A75-9908-154F-9ADF-5BB824B8C145}"/>
    <hyperlink ref="B275" r:id="rId275" display="https://socket.dev/npm/package/@pergel/nuxt" xr:uid="{5DBBEEFA-4E1A-3D4E-975B-FA65DD3F2B9F}"/>
    <hyperlink ref="B276" r:id="rId276" display="https://socket.dev/npm/package/@posthog/agent/overview/1.24.1" xr:uid="{3FFCE425-D9F3-E241-8500-46BD080E47E3}"/>
    <hyperlink ref="B277" r:id="rId277" display="https://socket.dev/npm/package/@posthog/ai/files/7.1.2" xr:uid="{AA9E0BD4-252A-1640-A9FE-E6B5D374E74F}"/>
    <hyperlink ref="B278" r:id="rId278" display="https://socket.dev/npm/package/@posthog/automatic-cohorts-plugin/overview/0.0.8" xr:uid="{A312E1BE-19F0-4542-86BF-9918E1EA5F28}"/>
    <hyperlink ref="B279" r:id="rId279" display="https://socket.dev/npm/package/@posthog/bitbucket-release-tracker/overview/0.0.8" xr:uid="{575FE733-2F9E-4042-ADF0-7DB7BAB3129A}"/>
    <hyperlink ref="B280" r:id="rId280" display="https://socket.dev/npm/package/@posthog/cli/overview/0.5.15" xr:uid="{F5ABD51C-5C7B-AD4A-83DC-3140880CADD5}"/>
    <hyperlink ref="B281" r:id="rId281" display="https://socket.dev/npm/package/@posthog/clickhouse/overview/1.7.1" xr:uid="{8DED8D74-0130-E84D-9ACB-0CC492FC3A8D}"/>
    <hyperlink ref="B282" r:id="rId282" display="https://socket.dev/npm/package/@posthog/core/overview/1.5.6" xr:uid="{EA3F4580-DDAA-C541-89D7-0BAC90AA623E}"/>
    <hyperlink ref="B283" r:id="rId283" display="https://socket.dev/npm/package/@posthog/currency-normalization-plugin/overview/0.0.8" xr:uid="{AFBEF9F6-5CE9-F24A-A784-F9A3B24DA1B7}"/>
    <hyperlink ref="B284" r:id="rId284" display="https://socket.dev/npm/package/@posthog/customerio-plugin/overview/0.0.8" xr:uid="{F39DB065-EE0B-C44C-B574-F5D1614025A0}"/>
    <hyperlink ref="B285" r:id="rId285" display="https://socket.dev/npm/package/@posthog/databricks-plugin/overview/0.0.8" xr:uid="{EA2B3C73-0FA7-B444-A869-548AE14AB75A}"/>
    <hyperlink ref="B286" r:id="rId286" display="https://socket.dev/npm/package/@posthog/drop-events-on-property-plugin/overview/0.0.8" xr:uid="{73B99189-FFC9-DB45-8C14-EDE07DFD5225}"/>
    <hyperlink ref="B287" r:id="rId287" display="https://socket.dev/npm/package/@posthog/event-sequence-timer-plugin/overview/0.0.8" xr:uid="{9AE8BC88-660F-5245-844C-9FB56B2FFDEB}"/>
    <hyperlink ref="B288" r:id="rId288" display="https://socket.dev/npm/package/@posthog/filter-out-plugin/overview/0.0.8" xr:uid="{37673829-A6A7-A349-8B2D-8BA745331ECD}"/>
    <hyperlink ref="B289" r:id="rId289" display="https://socket.dev/npm/package/@posthog/first-time-event-tracker/overview/0.0.8" xr:uid="{214687F9-59DA-9D41-A37D-C99F5D0AAEB9}"/>
    <hyperlink ref="B290" r:id="rId290" display="https://socket.dev/npm/package/@posthog/geoip-plugin/overview/0.0.8" xr:uid="{B40E01CF-E560-EE43-9DB3-4127168825FA}"/>
    <hyperlink ref="B291" r:id="rId291" display="https://socket.dev/npm/package/@posthog/github-release-tracking-plugin/overview/0.0.8" xr:uid="{EA712348-FA5E-124C-9F5B-156A0C3EA6B0}"/>
    <hyperlink ref="B292" r:id="rId292" display="https://socket.dev/npm/package/@posthog/gitub-star-sync-plugin/overview/0.0.8" xr:uid="{109F8CC8-6A12-3847-86A7-3B031598CB1A}"/>
    <hyperlink ref="B293" r:id="rId293" display="https://socket.dev/npm/package/@posthog/heartbeat-plugin/overview/0.0.8" xr:uid="{7547C8E6-A92B-494A-B94C-C1AD1B6472CF}"/>
    <hyperlink ref="B294" r:id="rId294" display="https://socket.dev/npm/package/@posthog/hedgehog-mode/overview/0.0.42" xr:uid="{9C9F6847-48F4-3040-9420-4C4497ED5572}"/>
    <hyperlink ref="B295" r:id="rId295" display="https://socket.dev/npm/package/@posthog/icons/overview/0.36.1" xr:uid="{8CAC0A11-FCFA-EF4E-AB59-0B88AD60B691}"/>
    <hyperlink ref="B296" r:id="rId296" display="https://socket.dev/npm/package/@posthog/ingestion-alert-plugin/overview/0.0.8" xr:uid="{D0901645-2736-404F-A243-7CF70C7F8F15}"/>
    <hyperlink ref="B297" r:id="rId297" display="https://socket.dev/npm/package/@posthog/intercom-plugin/overview/0.0.8" xr:uid="{00EE9C29-6D4E-3049-B67C-B45AB3A41FA5}"/>
    <hyperlink ref="B298" r:id="rId298" display="https://socket.dev/npm/package/@posthog/kinesis-plugin/overview/0.0.8" xr:uid="{7CE04790-A209-AF4C-B5AB-86658D9369CD}"/>
    <hyperlink ref="B299" r:id="rId299" display="https://socket.dev/npm/package/@posthog/laudspeaker-plugin/overview/0.0.8" xr:uid="{86BF257F-AA09-9F43-B9B1-00A87230DE97}"/>
    <hyperlink ref="B300" r:id="rId300" display="http://v/" xr:uid="{5099800A-DD88-1E4D-9B1E-58481C8F1293}"/>
    <hyperlink ref="B301" r:id="rId301" display="https://socket.dev/npm/package/@posthog/maxmind-plugin/overview/0.1.6" xr:uid="{6C58DF47-6F02-C646-9847-4211C5F7378C}"/>
    <hyperlink ref="B302" r:id="rId302" display="https://socket.dev/npm/package/@posthog/migrator3000-plugin/overview/0.0.8" xr:uid="{455ACF29-CFC9-3A4A-9A87-D664E96FDF47}"/>
    <hyperlink ref="B303" r:id="rId303" display="https://socket.dev/npm/package/@posthog/netdata-event-processing/overview/0.0.8" xr:uid="{6ECBE7B3-2B51-2542-88F6-03EB57E8DF5A}"/>
    <hyperlink ref="B304" r:id="rId304" display="https://socket.dev/npm/package/@posthog/nextjs/overview/0.0.3" xr:uid="{72FF979A-82B8-5D49-9FEE-08489F886978}"/>
    <hyperlink ref="B305" r:id="rId305" display="https://socket.dev/npm/package/@posthog/nextjs-config/overview/1.5.1" xr:uid="{8510D957-310F-A149-8C94-EEA6ADECE7F5}"/>
    <hyperlink ref="B306" r:id="rId306" display="https://socket.dev/npm/package/@posthog/nuxt/overview/1.2.9" xr:uid="{DA151146-DEBE-204F-8E00-3C0242576DED}"/>
    <hyperlink ref="B307" r:id="rId307" display="https://socket.dev/npm/package/@posthog/pagerduty-plugin/overview/0.0.8" xr:uid="{ACC4FE67-9801-0F4D-8D35-5F2B134929B7}"/>
    <hyperlink ref="B308" r:id="rId308" display="https://socket.dev/npm/package/@posthog/piscina/overview/3.2.1" xr:uid="{DF5D8635-A2D8-6045-96D7-C8963AADAF6B}"/>
    <hyperlink ref="B309" r:id="rId309" display="https://socket.dev/npm/package/@posthog/plugin-contrib/overview/0.0.6" xr:uid="{0390C563-4348-764D-9C9E-507CD46648B1}"/>
    <hyperlink ref="B310" r:id="rId310" display="https://socket.dev/npm/package/@posthog/plugin-server/overview/1.10.8" xr:uid="{1CEF99DB-A705-6441-8D5A-E284C2997E23}"/>
    <hyperlink ref="B311" r:id="rId311" display="https://socket.dev/npm/package/@posthog/plugin-unduplicates/overview/0.0.8" xr:uid="{834A2EF3-E43D-074F-B4DC-F1AB01619576}"/>
    <hyperlink ref="B312" r:id="rId312" display="https://socket.dev/npm/package/@posthog/postgres-plugin/overview/0.0.8" xr:uid="{78B0224B-1BCA-F141-8CB6-62A8E794D474}"/>
    <hyperlink ref="B313" r:id="rId313" display="https://socket.dev/npm/package/@posthog/rrdom/overview/0.0.31" xr:uid="{F6614377-4EA2-3349-BD2F-169B0D202A0D}"/>
    <hyperlink ref="B314" r:id="rId314" display="https://socket.dev/npm/package/@posthog/rrweb/overview/0.0.31" xr:uid="{6FF4BF4B-0AF5-2048-8785-EB9097636025}"/>
    <hyperlink ref="B315" r:id="rId315" display="https://socket.dev/npm/package/@posthog/rrweb-player/overview/0.0.31" xr:uid="{F07D38CB-7AAF-5E47-8E4B-BB241B71D236}"/>
    <hyperlink ref="B316" r:id="rId316" display="https://socket.dev/npm/package/@posthog/rrweb-record/overview/0.0.31" xr:uid="{C56E4C38-67E4-E247-872A-4D3B1345D566}"/>
    <hyperlink ref="B317" r:id="rId317" display="https://socket.dev/npm/package/@posthog/rrweb-replay/overview/0.0.19" xr:uid="{F6E39E0A-3D2A-7E47-AF10-568033DABA65}"/>
    <hyperlink ref="B318" r:id="rId318" display="https://socket.dev/npm/package/@posthog/rrweb-snapshot/overview/0.0.31" xr:uid="{73A37C0C-2BD9-5B42-A926-64CE9EFFE1E0}"/>
    <hyperlink ref="B319" r:id="rId319" display="https://socket.dev/npm/package/@posthog/rrweb-utils/overview/0.0.31" xr:uid="{7B85831E-3FF8-5648-8A76-DC4181588592}"/>
    <hyperlink ref="B320" r:id="rId320" display="https://socket.dev/npm/package/@posthog/sendgrid-plugin/overview/0.0.8" xr:uid="{5F12C491-2DE6-AA44-B16E-4862C2CCDEEE}"/>
    <hyperlink ref="B321" r:id="rId321" display="https://socket.dev/npm/package/@posthog/siphash/overview/1.1.2" xr:uid="{6B21679E-518E-184B-B030-5697AA56422E}"/>
    <hyperlink ref="B322" r:id="rId322" display="https://socket.dev/npm/package/@posthog/snowflake-export-plugin/overview/0.0.8" xr:uid="{195A80BB-FBEC-AB46-8D46-69652FA65418}"/>
    <hyperlink ref="B323" r:id="rId323" display="https://socket.dev/npm/package/@posthog/taxonomy-plugin/overview/0.0.8" xr:uid="{74664295-1301-EE48-B455-56C9CC2CA9DE}"/>
    <hyperlink ref="B324" r:id="rId324" display="https://socket.dev/npm/package/@posthog/twilio-plugin/overview/0.0.8" xr:uid="{1BDF533C-6774-A149-A267-266BFFBFAB79}"/>
    <hyperlink ref="B325" r:id="rId325" display="https://socket.dev/npm/package/@posthog/twitter-followers-plugin/overview/0.0.8" xr:uid="{1FF2FAF6-5342-9F4F-9C6C-2FF2D5BF0A7D}"/>
    <hyperlink ref="B326" r:id="rId326" display="https://socket.dev/npm/package/@posthog/url-normalizer-plugin/overview/0.0.8" xr:uid="{22EAE0E8-F9D4-D343-BE6C-A664914A6E9C}"/>
    <hyperlink ref="B327" r:id="rId327" display="https://socket.dev/npm/package/@posthog/variance-plugin/overview/0.0.8" xr:uid="{090968B2-F9A4-244E-BF43-A2ABAAB9ADBF}"/>
    <hyperlink ref="B328" r:id="rId328" display="https://socket.dev/npm/package/@posthog/web-dev-server/overview/1.0.5" xr:uid="{669D4783-6818-AC4C-A11C-175FC1B66FFA}"/>
    <hyperlink ref="B329" r:id="rId329" display="https://socket.dev/npm/package/@posthog/wizard/overview/1.18.1" xr:uid="{CCCFA99E-A048-4944-B633-21251316DD16}"/>
    <hyperlink ref="B330" r:id="rId330" display="https://socket.dev/npm/package/@posthog/zendesk-plugin/overview/0.0.8" xr:uid="{BFF4DF73-07C1-DA4B-B17B-01C84F857487}"/>
    <hyperlink ref="B331" r:id="rId331" display="https://socket.dev/npm/package/@pradhumngautam/common-app/overview/1.0.2" xr:uid="{79518452-AF02-3E48-BF14-4489993CAC1F}"/>
    <hyperlink ref="B332" r:id="rId332" display="https://socket.dev/npm/package/@productdevbook/animejs-vue" xr:uid="{6B99BDD6-9331-0942-985E-A1B42FEB5965}"/>
    <hyperlink ref="B333" r:id="rId333" display="https://socket.dev/npm/package/@productdevbook/auth/overview/0.2.2" xr:uid="{4C4BF88A-3395-8643-83CD-03FEBBF2B7D0}"/>
    <hyperlink ref="B334" r:id="rId334" display="https://socket.dev/npm/package/@productdevbook/chatwoot/overview/2.0.1" xr:uid="{2BFF3F4D-D778-2940-8483-46EF9A916E6E}"/>
    <hyperlink ref="B335" r:id="rId335" display="https://socket.dev/npm/package/@productdevbook/motion/overview/1.0.4" xr:uid="{FB4C6389-6387-2744-999D-357D8BC4D967}"/>
    <hyperlink ref="B336" r:id="rId336" display="https://socket.dev/npm/package/@productdevbook/ts-i18n/files/1.4.2" xr:uid="{FA75BE5E-58F5-394B-98D2-CAFE2D9E98AE}"/>
    <hyperlink ref="B337" r:id="rId337" display="https://socket.dev/npm/package/@pruthvi21/use-debounce/overview/1.0.3" xr:uid="{635F6D0A-448D-FC49-A580-FE6562D06505}"/>
    <hyperlink ref="B338" r:id="rId338" display="https://socket.dev/npm/package/@quick-start-soft/quick-document-translator" xr:uid="{20964816-886E-5F44-AC26-3F857C11B8E9}"/>
    <hyperlink ref="B339" r:id="rId339" display="https://socket.dev/npm/package/@quick-start-soft/quick-git-clean-markdown" xr:uid="{F0158F3D-3356-A24C-90E8-4FEC4546E87C}"/>
    <hyperlink ref="B340" r:id="rId340" display="https://socket.dev/npm/package/@quick-start-soft/quick-markdown/files/1.4.2511142126/bun_environment.js" xr:uid="{158EBFFE-E0FB-474B-8B1D-3705ECAC2BDC}"/>
    <hyperlink ref="B341" r:id="rId341" display="https://socket.dev/npm/package/@quick-start-soft/quick-markdown-compose" xr:uid="{20EC3816-2451-EE4A-A4A6-CDA61FC40F0F}"/>
    <hyperlink ref="B342" r:id="rId342" display="https://socket.dev/npm/package/@quick-start-soft/quick-markdown-image" xr:uid="{1F6C83F2-A963-A847-9C33-EFE59148FF71}"/>
    <hyperlink ref="B343" r:id="rId343" display="https://socket.dev/npm/package/@quick-start-soft/quick-markdown-print/files/1.4.2511142126/bun_environment.js" xr:uid="{2D08E972-AE70-2340-811F-8D87ADCF748A}"/>
    <hyperlink ref="B344" r:id="rId344" display="https://socket.dev/npm/package/@quick-start-soft/quick-markdown-translator" xr:uid="{ED7B8D2A-8E16-4A42-A489-01CA77B57731}"/>
    <hyperlink ref="B345" r:id="rId345" display="https://socket.dev/npm/package/@quick-start-soft/quick-remove-image-background" xr:uid="{B9584E2E-7BBD-8B49-9E6F-15B61CEAB4F5}"/>
    <hyperlink ref="B346" r:id="rId346" display="https://socket.dev/npm/package/@quick-start-soft/quick-task-refine" xr:uid="{060C8598-79AD-254C-BADD-5B690E591AEA}"/>
    <hyperlink ref="B347" r:id="rId347" display="https://socket.dev/npm/package/@relyt/claude-context-core/overview/0.1.1" xr:uid="{2A551CEA-7E41-B44F-9053-0C6B401851E0}"/>
    <hyperlink ref="B348" r:id="rId348" display="https://socket.dev/npm/package/@relyt/claude-context-mcp/overview/0.1.1" xr:uid="{A964077C-153B-F648-8FFA-50DBD6AD6755}"/>
    <hyperlink ref="B349" r:id="rId349" display="https://socket.dev/npm/package/@relyt/mcp-server-relytone/overview/0.0.3" xr:uid="{34789631-7D57-FD44-B556-43B4F881F62B}"/>
    <hyperlink ref="B350" r:id="rId350" display="https://socket.dev/npm/package/@seezo/sdr-mcp-server/overview/0.0.5" xr:uid="{02E0E83D-0432-D044-89B4-8ABBF82FDBA5}"/>
    <hyperlink ref="B351" r:id="rId351" display="https://socket.dev/npm/package/@seung-ju/next/overview/0.0.2" xr:uid="{14B998FB-95E7-C846-826A-905A5AC17E9B}"/>
    <hyperlink ref="B352" r:id="rId352" display="https://socket.dev/npm/package/@seung-ju/openapi-generator/overview/0.0.4" xr:uid="{6E5C23E5-7E46-0B4F-9906-6AC7F212C3F3}"/>
    <hyperlink ref="B353" r:id="rId353" display="https://socket.dev/npm/package/@seung-ju/react-hooks/overview/0.0.2" xr:uid="{3F815E65-9A48-8E42-8D60-53283A2AA98B}"/>
    <hyperlink ref="B354" r:id="rId354" display="https://socket.dev/npm/package/@seung-ju/react-native-action-sheet/overview/0.2.1" xr:uid="{AA2A30C1-35A5-0040-8C51-5BB4C976CBBB}"/>
    <hyperlink ref="B355" r:id="rId355" display="https://socket.dev/npm/package/@silgi/better-auth" xr:uid="{B3149A2B-AAAB-4F4C-870A-FA5AB1CEBF7F}"/>
    <hyperlink ref="B356" r:id="rId356" display="https://socket.dev/npm/package/@silgi/drizzle/overview/0.8.4" xr:uid="{60259A26-4515-FD48-A000-BBE5D7EF8B7B}"/>
    <hyperlink ref="B357" r:id="rId357" display="https://socket.dev/npm/package/@silgi/ecosystem" xr:uid="{EEBF7820-9350-E448-B95C-78402B8D3898}"/>
    <hyperlink ref="B358" r:id="rId358" display="https://socket.dev/npm/package/@silgi/graphql" xr:uid="{5E4D9C41-4AEB-714C-8173-4C3155B30D64}"/>
    <hyperlink ref="B359" r:id="rId359" display="https://socket.dev/npm/package/@silgi/module-builder" xr:uid="{D26B280D-C5A5-5A4C-BBF0-87841BC14236}"/>
    <hyperlink ref="B360" r:id="rId360" display="https://socket.dev/npm/package/@silgi/openapi/overview/0.7.4" xr:uid="{447031FD-40A3-3340-B046-06EF14D0C4E5}"/>
    <hyperlink ref="B361" r:id="rId361" display="https://socket.dev/npm/package/@silgi/permission" xr:uid="{5223496D-04DC-1447-B27F-EAE30DDDFC3F}"/>
    <hyperlink ref="B362" r:id="rId362" display="https://socket.dev/npm/package/@silgi/ratelimit" xr:uid="{A69F2C9C-2819-3149-91A8-F7353E96CE55}"/>
    <hyperlink ref="B363" r:id="rId363" display="https://socket.dev/npm/package/@silgi/scalar/overview/0.6.2" xr:uid="{BCFD1D0D-EBF7-344B-82B8-4D34CE2D8666}"/>
    <hyperlink ref="B364" r:id="rId364" display="https://socket.dev/npm/package/@silgi/yoga/overview/0.7.1" xr:uid="{BF5D7482-623A-0248-B5C3-A1CFC2EC0034}"/>
    <hyperlink ref="B365" r:id="rId365" display="https://socket.dev/npm/package/@sme-ui/aoma-vevasound-metadata-lib/overview/0.1.3" xr:uid="{2A85DFE2-4EB4-FC4C-9FA4-9C27C93ECBE3}"/>
    <hyperlink ref="B366" r:id="rId366" display="https://socket.dev/npm/package/@strapbuild/react-native-date-time-picker" xr:uid="{29D8246C-8242-E340-8493-78FA72A55AFB}"/>
    <hyperlink ref="B367" r:id="rId367" display="https://socket.dev/npm/package/@strapbuild/react-native-perspective-image-cropper" xr:uid="{272A15C0-BA5A-154D-972C-B83168D9BE47}"/>
    <hyperlink ref="B368" r:id="rId368" display="https://socket.dev/npm/package/@strapbuild/react-native-perspective-image-cropper-2" xr:uid="{1FE2A8B8-615D-DD45-ADCB-41BFE514A4B1}"/>
    <hyperlink ref="B369" r:id="rId369" display="https://socket.dev/npm/package/@strapbuild/react-native-perspective-image-cropper-poojan31" xr:uid="{169F97F5-CC93-8649-AABB-8546CBC983F5}"/>
    <hyperlink ref="B370" r:id="rId370" display="https://socket.dev/npm/package/@suraj_h/medium-common/overview/1.0.5" xr:uid="{217667CF-1E47-C049-BADB-81315797703C}"/>
    <hyperlink ref="B371" r:id="rId371" display="https://socket.dev/npm/package/@thedelta/eslint-config/overview/1.0.2" xr:uid="{00D4B3E4-DDAE-3A44-A12A-1564D5B948A6}"/>
    <hyperlink ref="B372" r:id="rId372" display="https://socket.dev/npm/package/@trackstar/angular-trackstar-link/files/1.0.2" xr:uid="{82C7CF5C-E6F5-5348-9394-832F340EAF62}"/>
    <hyperlink ref="B373" r:id="rId373" display="https://socket.dev/npm/package/@trackstar/react-trackstar-link" xr:uid="{A8752ADA-3D5B-F046-9054-985FA86024A4}"/>
    <hyperlink ref="B374" r:id="rId374" display="https://socket.dev/npm/package/@trackstar/react-trackstar-link-upgrade" xr:uid="{AB00C9C9-DBB5-304A-8EC5-7B085AC9ECF1}"/>
    <hyperlink ref="B375" r:id="rId375" display="https://socket.dev/npm/package/@trackstar/test-angular-package" xr:uid="{80D69D85-1879-664D-9CF7-5818FDA4DBC1}"/>
    <hyperlink ref="B376" r:id="rId376" display="https://socket.dev/npm/package/@trackstar/test-package" xr:uid="{C28645FC-A369-E541-BF51-EDE16EDA2B83}"/>
    <hyperlink ref="B377" r:id="rId377" display="https://socket.dev/npm/package/@trefox/sleekshop-js/overview/0.1.6" xr:uid="{DBBE5D14-8E8A-DA47-B4CF-DD31F4354276}"/>
    <hyperlink ref="B378" r:id="rId378" display="https://socket.dev/npm/package/@trigo/atrix/overview/7.0.1" xr:uid="{8EABB467-089A-1D40-A0EE-85F0AF8BB653}"/>
    <hyperlink ref="B379" r:id="rId379" display="https://socket.dev/npm/package/@trigo/atrix-acl/overview/4.0.2" xr:uid="{38EE9B10-4CC3-CD40-90B7-0E4C05D9B73C}"/>
    <hyperlink ref="B380" r:id="rId380" display="https://socket.dev/npm/package/@trigo/atrix-elasticsearch/overview/2.0.1" xr:uid="{09205D1A-B513-004F-B41D-28A4A58B6F81}"/>
    <hyperlink ref="B381" r:id="rId381" display="https://socket.dev/npm/package/@trigo/atrix-mongoose/overview/1.0.2" xr:uid="{8F2292E4-7D78-4044-A3BD-AA9B2B0D2AC8}"/>
    <hyperlink ref="B382" r:id="rId382" display="https://socket.dev/npm/package/@trigo/atrix-orientdb/overview/1.0.2" xr:uid="{98FA8D2F-9B15-C14A-AA08-16FC5E831DA3}"/>
    <hyperlink ref="B383" r:id="rId383" display="https://socket.dev/npm/package/@trigo/atrix-postgres/overview/1.0.3" xr:uid="{7FF7F2B1-D474-8B46-9B0E-76E20CE3AF46}"/>
    <hyperlink ref="B384" r:id="rId384" display="https://socket.dev/npm/package/@trigo/atrix-pubsub/overview/4.0.3" xr:uid="{BB0C0585-4518-4040-872C-A011D40EC7C8}"/>
    <hyperlink ref="B385" r:id="rId385" display="https://socket.dev/npm/package/@trigo/atrix-redis/overview/1.0.2" xr:uid="{2A5E5B8F-096A-704F-9430-A2EC965BB2E4}"/>
    <hyperlink ref="B386" r:id="rId386" display="https://socket.dev/npm/package/@trigo/atrix-soap/overview/1.0.2" xr:uid="{C1560A61-EEC3-A64B-AE3E-FC9F7BAF88CC}"/>
    <hyperlink ref="B387" r:id="rId387" display="https://socket.dev/npm/package/@trigo/atrix-swagger/overview/3.0.1" xr:uid="{6FD37E0F-0A51-A243-9616-65ED689A5ABB}"/>
    <hyperlink ref="B388" r:id="rId388" display="https://socket.dev/npm/package/@trigo/bool-expressions/overview/4.1.3" xr:uid="{C2E33E78-E2A1-C74A-A248-79334C60D5B9}"/>
    <hyperlink ref="B389" r:id="rId389" display="https://socket.dev/npm/package/@trigo/eslint-config-trigo/overview/3.3.1" xr:uid="{CBBAFF59-5481-8E47-A9D4-58FD68759900}"/>
    <hyperlink ref="B390" r:id="rId390" display="https://socket.dev/npm/package/@trigo/fsm/overview/3.4.2" xr:uid="{D037483C-DF27-3644-B41A-ACBE11F70FC6}"/>
    <hyperlink ref="B391" r:id="rId391" display="https://socket.dev/npm/package/@trigo/hapi-auth-signedlink/overview/1.3.1" xr:uid="{9A63DE61-2F82-9D43-A99E-EA1B16B5799E}"/>
    <hyperlink ref="B392" r:id="rId392" display="https://socket.dev/npm/package/@trigo/jsdt/overview/0.2.1" xr:uid="{7C66D3A7-7F00-8241-8281-8D34EA7DBE0F}"/>
    <hyperlink ref="B393" r:id="rId393" display="https://socket.dev/npm/package/@trigo/keycloak-api/overview/1.3.1" xr:uid="{0B548BA4-AE83-124F-BB88-486087D9E8B2}"/>
    <hyperlink ref="B394" r:id="rId394" display="https://socket.dev/npm/package/@trigo/node-soap/overview/0.5.4" xr:uid="{C5D936AF-6E1D-DC4F-A771-D9E8B004508F}"/>
    <hyperlink ref="B395" r:id="rId395" display="https://socket.dev/npm/package/@trigo/pathfinder-ui-css/overview/0.1.1" xr:uid="{39C55708-8581-BA43-898A-BA307F3A62AE}"/>
    <hyperlink ref="B396" r:id="rId396" display="https://socket.dev/npm/package/@trigo/trigo-hapijs/overview/5.0.1" xr:uid="{F05D5240-58C2-1049-9402-AF61C1109F03}"/>
    <hyperlink ref="B397" r:id="rId397" display="https://socket.dev/npm/package/@trpc-rate-limiter/cloudflare" xr:uid="{839E017F-95F0-FA49-AFF0-A705AC05A009}"/>
    <hyperlink ref="B398" r:id="rId398" display="https://socket.dev/npm/package/@trpc-rate-limiter/hono" xr:uid="{B3C8AAC1-FDE9-C444-AD56-CEC628D62EEE}"/>
    <hyperlink ref="B399" r:id="rId399" display="https://socket.dev/npm/package/@varsityvibe/api-client/overview/1.3.37" xr:uid="{1A8B1429-5681-3546-94DC-6029B1A8586D}"/>
    <hyperlink ref="B400" r:id="rId400" display="https://socket.dev/npm/package/@varsityvibe/utils/overview/5.0.6" xr:uid="{01D05F50-EEE9-B94C-868F-5F80F708365C}"/>
    <hyperlink ref="B401" r:id="rId401" display="https://socket.dev/npm/package/@viapip/eslint-config" xr:uid="{6F2B2060-D9D5-E745-8E14-7042FBF198EE}"/>
    <hyperlink ref="B402" r:id="rId402" display="https://socket.dev/npm/package/@vishadtyagi/full-year-calendar" xr:uid="{29B3C67F-91A2-9749-A117-6717B36A4A84}"/>
    <hyperlink ref="B403" r:id="rId403" display="https://socket.dev/npm/package/@vucod/email" xr:uid="{9C85A49C-FEAC-3F49-B70B-4C65E865C1D7}"/>
    <hyperlink ref="B404" r:id="rId404" display="https://socket.dev/npm/package/02-echo/overview/0.0.7" xr:uid="{69A08C36-8F03-694A-8455-672A29C38DDC}"/>
    <hyperlink ref="B405" r:id="rId405" display="https://socket.dev/npm/package/ai-crowl-shield/overview/1.0.7" xr:uid="{E30C679D-54AC-A444-B554-F2E0781826B7}"/>
    <hyperlink ref="B406" r:id="rId406" display="https://socket.dev/npm/package/arc-cli-fc/overview/1.0.1" xr:uid="{F2A911E1-881E-6149-AEBA-2FEFB96E90D0}"/>
    <hyperlink ref="B407" r:id="rId407" display="https://socket.dev/npm/package/asciitranslator" xr:uid="{F5BFFE07-B455-A549-A0D2-FC4480BB07FF}"/>
    <hyperlink ref="B408" r:id="rId408" display="https://socket.dev/npm/package/asyncapi-preview" xr:uid="{EC67CFCF-24EA-F74C-8D8D-50DC85665D52}"/>
    <hyperlink ref="B409" r:id="rId409" display="https://socket.dev/npm/package/asyncapi-preview/overview/1.0.2" xr:uid="{195AA904-8C45-8C4A-BEBF-62E7046F908E}"/>
    <hyperlink ref="B410" r:id="rId410" display="https://socket.dev/npm/package/atrix/overview/1.0.1" xr:uid="{7CA7D0E1-16C2-CA46-8F78-E95F682A8288}"/>
    <hyperlink ref="B411" r:id="rId411" display="https://socket.dev/npm/package/atrix-mongoose/overview/1.0.1" xr:uid="{57E0AFBC-B6F7-364B-AF07-51FE8C4528BD}"/>
    <hyperlink ref="B412" r:id="rId412" display="https://socket.dev/npm/package/automation_model/overview/1.0.491" xr:uid="{31CD48E7-BB76-3F4B-AE3A-7F4DDB53DEE7}"/>
    <hyperlink ref="B413" r:id="rId413" display="https://socket.dev/npm/package/avvvatars-vue" xr:uid="{CB315938-DA96-354C-A016-40FBCB0AD141}"/>
    <hyperlink ref="B414" r:id="rId414" display="https://socket.dev/npm/package/axios-builder" xr:uid="{DB12D57F-24FF-604B-A746-A9C2EF097C7D}"/>
    <hyperlink ref="B415" r:id="rId415" display="https://socket.dev/npm/package/babel-preset-kinvey-flex-service" xr:uid="{7567B2F5-F98D-8B40-A840-3B42B8ED0943}"/>
    <hyperlink ref="B416" r:id="rId416" display="https://socket.dev/npm/package/benmostyn-frame-print/overview/1.0.1" xr:uid="{E59A15AA-D13F-EF4E-AAEF-9037F4F6CFC8}"/>
    <hyperlink ref="B417" r:id="rId417" display="https://socket.dev/npm/package/best_gpio_controller" xr:uid="{49BA412A-0959-5848-AD2F-5D6D23D2D389}"/>
    <hyperlink ref="B418" r:id="rId418" display="https://socket.dev/npm/package/better-auth-nuxt" xr:uid="{C850EFB3-C3E3-9D40-A971-C36A0476B5E0}"/>
    <hyperlink ref="B419" r:id="rId419" display="https://socket.dev/npm/package/better-queue-nedb" xr:uid="{89F830B5-2C33-9440-853A-17C57244F7EA}"/>
    <hyperlink ref="B420" r:id="rId420" display="https://socket.dev/npm/package/blinqio-executions-cli/overview/1.0.41" xr:uid="{CB849304-0813-B24F-BAC4-F208E632DD38}"/>
    <hyperlink ref="B421" r:id="rId421" display="https://socket.dev/npm/package/blob-to-base64/overview/1.0.3" xr:uid="{F8DB6D85-9E51-3844-A497-EB652DDFE9FE}"/>
    <hyperlink ref="B422" r:id="rId422" display="https://socket.dev/npm/package/bool-expressions/overview/0.1.2" xr:uid="{43219000-216B-A04D-8088-34A28CBADDB6}"/>
    <hyperlink ref="B423" r:id="rId423" display="https://socket.dev/npm/package/buffered-interpolation-babylon6" xr:uid="{68DFFF35-2CC2-614B-A2FA-BF08601951B1}"/>
    <hyperlink ref="B424" r:id="rId424" display="https://socket.dev/npm/package/bun-plugin-httpfile/overview/0.1.1" xr:uid="{31C8C27F-0190-6843-8B28-F283C570703A}"/>
    <hyperlink ref="B425" r:id="rId425" display="https://socket.dev/npm/package/bytes-to-x/overview/1.0.1" xr:uid="{69D2E336-C1ED-2C40-B7A0-489B9A3AEED1}"/>
    <hyperlink ref="B426" r:id="rId426" display="https://socket.dev/npm/package/calc-loan-interest/overview/1.0.4" xr:uid="{15892B99-4EDE-1745-A437-F49FDF381121}"/>
    <hyperlink ref="B427" r:id="rId427" display="https://socket.dev/npm/package/capacitor-plugin-apptrackingios/overview/0.0.21" xr:uid="{ED6D2C8A-0B17-AC4E-89DC-D8029F6D0A8F}"/>
    <hyperlink ref="B428" r:id="rId428" display="https://socket.dev/npm/package/capacitor-plugin-purchase/overview/0.1.1" xr:uid="{A02FA579-E378-E14D-9C81-85C53848C1CA}"/>
    <hyperlink ref="B429" r:id="rId429" display="https://socket.dev/npm/package/capacitor-plugin-scgssigninwithgoogle/overview/0.0.5" xr:uid="{429E6E3A-97D4-A940-90D5-CC57066C6D2D}"/>
    <hyperlink ref="B430" r:id="rId430" display="https://socket.dev/npm/package/capacitor-purchase-history/overview/0.0.10" xr:uid="{4138BB62-0AE3-C24B-892B-84F039BD5826}"/>
    <hyperlink ref="B431" r:id="rId431" display="https://socket.dev/npm/package/capacitor-voice-recorder-wav/overview/6.0.3" xr:uid="{7A8C4E40-C19D-B446-B821-C39861E005B3}"/>
    <hyperlink ref="B432" r:id="rId432" display="https://socket.dev/npm/package/ceviz" xr:uid="{68C3A4EF-EE35-2848-B6A7-D2060C4459BF}"/>
    <hyperlink ref="B433" r:id="rId433" display="https://socket.dev/npm/package/claude-token-updater/overview/1.0.3" xr:uid="{5F387F93-9797-4E46-A176-767CE8903CD6}"/>
    <hyperlink ref="B434" r:id="rId434" display="https://socket.dev/npm/package/colors-regex/overview/2.0.1" xr:uid="{61F5EE5A-E677-B34D-BEF4-DD6B39F2C43D}"/>
    <hyperlink ref="B435" r:id="rId435" display="https://socket.dev/npm/package/command-irail/overview/0.5.4" xr:uid="{665C3102-23FC-E84D-89BA-F56A6253E0C5}"/>
    <hyperlink ref="B436" r:id="rId436" display="https://socket.dev/npm/package/cpu-instructions/overview/0.0.14" xr:uid="{381882D7-D92F-AA46-8DBC-F62B5DAF6DA8}"/>
    <hyperlink ref="B437" r:id="rId437" display="https://socket.dev/npm/package/create-director-app" xr:uid="{5A138C00-1274-B245-89EB-7BF8F9557A4F}"/>
    <hyperlink ref="B438" r:id="rId438" display="https://socket.dev/npm/package/create-glee-app" xr:uid="{34A2EB8E-05C5-5B4D-AD51-CB3F466894B5}"/>
    <hyperlink ref="B439" r:id="rId439" display="https://socket.dev/npm/package/create-glee-app/overview/0.2.3" xr:uid="{729DDF7F-FEC1-4840-B5C4-29B13E82C978}"/>
    <hyperlink ref="B440" r:id="rId440" display="https://socket.dev/npm/package/create-kinvey-flex-service" xr:uid="{5BC0FBCC-0D82-6C46-9B57-003BD6B0A23B}"/>
    <hyperlink ref="B441" r:id="rId441" display="https://socket.dev/npm/package/create-silgi/overview/0.3.1" xr:uid="{B808E90E-03EA-7347-8EC5-267BDC8D6BA8}"/>
    <hyperlink ref="B442" r:id="rId442" display="https://socket.dev/npm/package/crypto-addr-codec/overview/0.1.9" xr:uid="{8AD2747F-974E-104D-AE4E-797A61C12A7C}"/>
    <hyperlink ref="B443" r:id="rId443" display="https://socket.dev/npm/package/css-dedoupe/overview/0.1.2" xr:uid="{8395CA36-1CE4-9D49-85D6-1C28CEC7EBD7}"/>
    <hyperlink ref="B444" r:id="rId444" display="https://socket.dev/npm/package/csv-tool-cli" xr:uid="{2A3BD54C-6D31-2349-9ECD-16BF73D43217}"/>
    <hyperlink ref="B445" r:id="rId445" display="https://socket.dev/npm/package/dashboard-empty-state/overview/1.0.3" xr:uid="{7446337A-840F-2040-8136-C6D9A3783C8B}"/>
    <hyperlink ref="B446" r:id="rId446" display="https://socket.dev/npm/package/designstudiouiux/overview/1.0.1" xr:uid="{596382FC-E1DB-1749-AB69-5AC5CDF6CC10}"/>
    <hyperlink ref="B447" r:id="rId447" display="https://socket.dev/npm/package/devstart-cli/overview/1.0.6" xr:uid="{5E36BB71-17F1-A943-98B8-7FCC25B195C6}"/>
    <hyperlink ref="B448" r:id="rId448" display="https://socket.dev/npm/package/discord-bot-server/overview/0.1.2" xr:uid="{0D8BBA92-BF01-4E48-A6EE-1272BF229B6D}"/>
    <hyperlink ref="B449" r:id="rId449" display="https://socket.dev/npm/package/docusaurus-plugin-vanilla-extract/overview/1.0.3" xr:uid="{959AD919-789F-5244-BED5-3D6E768D9409}"/>
    <hyperlink ref="B450" r:id="rId450" display="https://socket.dev/npm/package/dont-go/overview/1.1.2" xr:uid="{09CFF1CB-8DA5-8D44-9C36-8CD4522D3960}"/>
    <hyperlink ref="B451" r:id="rId451" display="https://socket.dev/npm/package/dotnet-template" xr:uid="{ED24CAEA-56A0-5A4D-9C82-9F69328B6776}"/>
    <hyperlink ref="B452" r:id="rId452" display="https://socket.dev/npm/package/dotnet-template/overview/0.0.4" xr:uid="{4DA640C3-6A44-B745-8552-814AD2BF553E}"/>
    <hyperlink ref="B453" r:id="rId453" display="https://socket.dev/npm/package/drop-events-on-property-plugin/overview/0.0.2" xr:uid="{F600BFCD-0A13-754F-B2E0-1FF5B36923ED}"/>
    <hyperlink ref="B454" r:id="rId454" display="https://socket.dev/npm/package/easypanel-sdk" xr:uid="{82DAC336-BBCD-6545-8526-580233E27E81}"/>
    <hyperlink ref="B455" r:id="rId455" display="https://socket.dev/npm/package/electron-volt" xr:uid="{F982E593-A600-E847-A30B-ECE6C60EFD32}"/>
    <hyperlink ref="B456" r:id="rId456" display="https://socket.dev/npm/package/email-deliverability-tester/overview/1.1.1" xr:uid="{55C91393-E69E-5740-A5AC-014EBF42E0CA}"/>
    <hyperlink ref="B457" r:id="rId457" display="https://socket.dev/npm/package/enforce-branch-name/overview/1.1.3" xr:uid="{6FB634B1-2CE0-8E49-BAFD-8DBB6928A1B0}"/>
    <hyperlink ref="B458" r:id="rId458" display="https://socket.dev/npm/package/esbuild-plugin-brotli/overview/0.2.1" xr:uid="{1495307C-53AA-4241-97F9-D096211F52C1}"/>
    <hyperlink ref="B459" r:id="rId459" display="https://socket.dev/npm/package/esbuild-plugin-eta/overview/0.1.1" xr:uid="{A62CE603-1789-D546-B8FE-2C8F7273FDB6}"/>
    <hyperlink ref="B460" r:id="rId460" display="https://socket.dev/npm/package/esbuild-plugin-httpfile/overview/0.4.1" xr:uid="{6B06E17E-5707-3B49-BF55-26457B07D181}"/>
    <hyperlink ref="B461" r:id="rId461" display="https://socket.dev/npm/package/eslint-config-kinvey-flex-service" xr:uid="{A7D06894-A975-EA46-88FA-CBC8B5154BB5}"/>
    <hyperlink ref="B462" r:id="rId462" display="https://socket.dev/npm/package/eslint-config-nitpicky/overview/4.0.1" xr:uid="{49542F18-C13F-2E4E-921B-A9FA4EAB4D7B}"/>
    <hyperlink ref="B463" r:id="rId463" display="https://socket.dev/npm/package/eslint-config-trigo/overview/22.0.2" xr:uid="{9173155C-B0AA-614D-AD88-95CB29868392}"/>
    <hyperlink ref="B464" r:id="rId464" display="https://socket.dev/npm/package/eslint-config-zeallat-base" xr:uid="{7B961099-37B5-864E-AAB4-C4FD76AB6B0C}"/>
    <hyperlink ref="B465" r:id="rId465" display="https://socket.dev/npm/package/ethereum-ens/overview/0.8.1" xr:uid="{A0CCA3E1-9197-F44D-8FD4-149D6B988132}"/>
    <hyperlink ref="B466" r:id="rId466" display="https://socket.dev/npm/package/exact-ticker/overview/0.3.5" xr:uid="{AD048A3D-2FF5-7F48-A60F-C8DF36E87F8A}"/>
    <hyperlink ref="B467" r:id="rId467" display="https://socket.dev/npm/package/expo-audio-session/overview/0.2.1" xr:uid="{5B378EDA-F54B-5F40-8D89-9CDC5AC6A89A}"/>
    <hyperlink ref="B468" r:id="rId468" display="https://socket.dev/npm/package/expo-router-on-rails" xr:uid="{E4C5FC46-CFB0-5B4B-B2F0-4D32C78D12D0}"/>
    <hyperlink ref="B469" r:id="rId469" display="https://socket.dev/npm/package/express-starter-template" xr:uid="{A5D0BCF2-45E1-AA47-BCA6-82A1273DD1E2}"/>
    <hyperlink ref="B470" r:id="rId470" display="https://socket.dev/npm/package/expressos/overview/1.1.3" xr:uid="{C3FAA301-9403-494A-B007-0C65C84EDBF0}"/>
    <hyperlink ref="B471" r:id="rId471" display="https://socket.dev/npm/package/firestore-search-engine/overview/1.2.3" xr:uid="{95E70060-08BD-3543-94CC-3944F839459E}"/>
    <hyperlink ref="B472" r:id="rId472" display="https://socket.dev/npm/package/formik-error-focus/overview/2.0.1" xr:uid="{3737A721-08E3-1C4F-802B-20802EAB45A3}"/>
    <hyperlink ref="B473" r:id="rId473" display="https://socket.dev/npm/package/formik-store/overview/1.0.1" xr:uid="{F21945CD-0C77-B44C-A2DA-6FFEABD9881D}"/>
    <hyperlink ref="B474" r:id="rId474" display="https://socket.dev/npm/package/frontity-starter-theme/files/1.0.1" xr:uid="{49FAAB96-CFAA-2843-9EB5-811F646200A7}"/>
    <hyperlink ref="B475" r:id="rId475" display="https://socket.dev/npm/package/gatsby-plugin-antd" xr:uid="{A94D4C9E-D9F8-7A4A-89A0-8AC4F8EBF6C4}"/>
    <hyperlink ref="B476" r:id="rId476" display="https://socket.dev/npm/package/generator-meteor-stock/overview/0.1.6" xr:uid="{CD89583C-72FC-D340-BDBC-A37DEDE35C18}"/>
    <hyperlink ref="B477" r:id="rId477" display="https://socket.dev/npm/package/generator-ng-itobuz/overview/0.0.15" xr:uid="{D5A641C4-2217-F441-B6C5-6FB3FB9877EF}"/>
    <hyperlink ref="B478" r:id="rId478" display="https://socket.dev/npm/package/get-them-args/overview/1.3.3" xr:uid="{97396B42-855B-404C-BC0B-EFDE8323086A}"/>
    <hyperlink ref="B479" r:id="rId479" display="https://socket.dev/npm/package/github-action-for-generator" xr:uid="{C0B5E1DA-C2BD-514E-B9D5-EF9BCB97AD59}"/>
    <hyperlink ref="B480" r:id="rId480" display="https://socket.dev/npm/package/github-action-for-generator/overview/2.1.28" xr:uid="{5D820CF4-80E5-EE4C-A620-E091728B0E71}"/>
    <hyperlink ref="B481" r:id="rId481" display="https://socket.dev/npm/package/gitsafe/overview/1.0.5" xr:uid="{059E6F41-A4F5-3C4A-B291-4F96E9BC3331}"/>
    <hyperlink ref="B482" r:id="rId482" display="https://socket.dev/npm/package/go-template" xr:uid="{4C5F9F3E-1027-844C-85E0-7A18214CA468}"/>
    <hyperlink ref="B483" r:id="rId483" display="https://socket.dev/npm/package/go-template/overview/0.1.9" xr:uid="{58AB41B3-4441-5C45-B816-103C66207ECC}"/>
    <hyperlink ref="B484" r:id="rId484" display="https://socket.dev/npm/package/hope-mapboxdraw/overview/0.1.1" xr:uid="{885923C0-490C-7841-8455-77D139FF18AD}"/>
    <hyperlink ref="B485" r:id="rId485" display="https://socket.dev/npm/package/hopedraw/overview/1.0.3" xr:uid="{DDCC3B20-DBB8-144C-B5FC-6A8C1FA60DA7}"/>
    <hyperlink ref="B486" r:id="rId486" display="https://socket.dev/npm/package/hover-design-prototype/overview/0.0.5" xr:uid="{21DBCCB1-908A-C942-A7B8-891B6C891CFA}"/>
    <hyperlink ref="B487" r:id="rId487" display="https://socket.dev/npm/package/hyper-fullfacing/overview/1.0.3" xr:uid="{FC389A46-977B-6144-98B0-C0CA3EE9A782}"/>
    <hyperlink ref="B488" r:id="rId488" display="https://socket.dev/npm/package/hyperterm-hipster/overview/1.0.7" xr:uid="{69A1EB02-C3B1-0143-AD6E-8B52783A7069}"/>
    <hyperlink ref="B489" r:id="rId489" display="https://socket.dev/npm/package/ids-css" xr:uid="{56D6ED1E-70CD-6044-B092-0769C81AE19C}"/>
    <hyperlink ref="B490" r:id="rId490" display="https://socket.dev/npm/package/ids-enterprise-mcp-server" xr:uid="{92BECD93-8129-3D47-9C1B-735E224846F9}"/>
    <hyperlink ref="B491" r:id="rId491" display="https://socket.dev/npm/package/ids-enterprise-ng" xr:uid="{48F763E5-6ED1-3740-BBE7-EC1149E37B06}"/>
    <hyperlink ref="B492" r:id="rId492" display="https://socket.dev/npm/package/ids-enterprise-typings" xr:uid="{25872C74-9618-124B-BFE1-CDD23556A86C}"/>
    <hyperlink ref="B493" r:id="rId493" display="https://socket.dev/npm/package/insomnia-plugin-random-pick" xr:uid="{4926C8BD-94F5-FC4A-9FA6-385C0BAE2AC8}"/>
    <hyperlink ref="B494" r:id="rId494" display="https://socket.dev/npm/package/invo/overview/0.2.2" xr:uid="{7072F68F-1CE5-C540-90A0-7905BBF3CFF4}"/>
    <hyperlink ref="B495" r:id="rId495" display="https://socket.dev/npm/package/iron-shield-miniapp" xr:uid="{5FF3B38D-C317-FE46-8C2F-281B3A46472F}"/>
    <hyperlink ref="B496" r:id="rId496" display="https://socket.dev/npm/package/ito-button/overview/8.0.3" xr:uid="{B1822B6C-02A3-CF48-9129-D58A14673B99}"/>
    <hyperlink ref="B497" r:id="rId497" display="https://socket.dev/npm/package/itobuz-angular/overview/0.0.1" xr:uid="{374821A7-67C5-5E40-AF4D-E1AC404B70EF}"/>
    <hyperlink ref="B498" r:id="rId498" display="https://socket.dev/npm/package/itobuz-angular-auth/overview/8.0.11" xr:uid="{5C9024FB-D615-9844-A6D0-1FF56E2EB165}"/>
    <hyperlink ref="B499" r:id="rId499" display="https://socket.dev/npm/package/itobuz-angular-button/overview/8.0.11" xr:uid="{B952129F-53C7-5540-8766-25FDC6C8EF76}"/>
    <hyperlink ref="B500" r:id="rId500" display="https://socket.dev/npm/package/jaetut-varit-test/overview/1.0.2" xr:uid="{18D532E6-6E61-1042-8BC0-29D3E0FD245B}"/>
    <hyperlink ref="B501" r:id="rId501" display="https://socket.dev/npm/package/jan-browser/overview/0.13.1" xr:uid="{4906A892-E211-AC44-A47C-3DC258322256}"/>
    <hyperlink ref="B502" r:id="rId502" display="https://socket.dev/npm/package/jsonsurge" xr:uid="{422B528B-F430-FA40-BF07-91B39002798C}"/>
    <hyperlink ref="B503" r:id="rId503" display="https://socket.dev/npm/package/just-toasty/overview/1.7.1" xr:uid="{2A1D8898-A673-7042-8E50-4269FEF9A329}"/>
    <hyperlink ref="B504" r:id="rId504" display="https://socket.dev/npm/package/kinetix-default-token-list" xr:uid="{29784BDB-4DDD-5B49-AFD4-795A06245742}"/>
    <hyperlink ref="B505" r:id="rId505" display="https://socket.dev/npm/package/kinvey-cli-wrapper" xr:uid="{845A9E88-A664-9E42-A016-3D8296860276}"/>
    <hyperlink ref="B506" r:id="rId506" display="https://socket.dev/npm/package/kinvey-flex-scripts" xr:uid="{B114D89A-0282-6447-9CA6-2F49DD3BE023}"/>
    <hyperlink ref="B507" r:id="rId507" display="https://socket.dev/npm/package/kns-error-code" xr:uid="{24A38DFB-C3FD-7141-A185-38CD605E3815}"/>
    <hyperlink ref="B508" r:id="rId508" display="https://socket.dev/npm/package/korea-administrative-area-geo-json-util/overview/1.0.7" xr:uid="{96498133-E796-A24A-A2F9-2CB37DCC201E}"/>
    <hyperlink ref="B509" r:id="rId509" display="https://socket.dev/npm/package/lite-serper-mcp-server/overview/0.2.2" xr:uid="{6898D4C3-C145-AA4F-B473-C21945B29B77}"/>
    <hyperlink ref="B510" r:id="rId510" display="https://socket.dev/npm/package/lui-vue-test" xr:uid="{2859EEB1-4DCA-BE40-81EF-317F011F1814}"/>
    <hyperlink ref="B511" r:id="rId511" display="https://socket.dev/npm/package/luno-api/overview/1.2.3" xr:uid="{CB4A1107-62EA-D348-AB30-54A20039FBEF}"/>
    <hyperlink ref="B512" r:id="rId512" display="https://socket.dev/npm/package/m25-transaction-utils" xr:uid="{059EE37E-9227-A54E-BA4E-E3D489DEC1EC}"/>
    <hyperlink ref="B513" r:id="rId513" display="https://socket.dev/npm/package/manual-billing-system-miniapp-api" xr:uid="{FA6ED4FA-61D2-3C4D-B646-4836E9C6AF2D}"/>
    <hyperlink ref="B514" r:id="rId514" display="https://socket.dev/npm/package/medusa-plugin-announcement/overview/0.0.3" xr:uid="{A0CE64C1-27E7-8D42-8397-DF46F1FDC568}"/>
    <hyperlink ref="B515" r:id="rId515" display="https://socket.dev/npm/package/medusa-plugin-logs/overview/0.0.17" xr:uid="{D130BE28-A938-7C48-8539-E7132ABDA738}"/>
    <hyperlink ref="B516" r:id="rId516" display="https://socket.dev/npm/package/medusa-plugin-momo/overview/0.0.68" xr:uid="{686BD956-EA1D-2F4F-8C4C-C4BF14E7BA96}"/>
    <hyperlink ref="B517" r:id="rId517" display="https://socket.dev/npm/package/medusa-plugin-product-reviews-kvy/overview/0.0.4" xr:uid="{F95E9B3D-2E18-A949-92DF-7E041BAAA0D4}"/>
    <hyperlink ref="B518" r:id="rId518" display="https://socket.dev/npm/package/medusa-plugin-zalopay/overview/0.0.40" xr:uid="{E8A98C2C-4FA3-DE42-A7CF-0667ECF2D013}"/>
    <hyperlink ref="B519" r:id="rId519" display="https://socket.dev/npm/package/mod10-check-digit/overview/1.0.1" xr:uid="{A2B40743-3582-A74A-84E5-E4EB7933E3F1}"/>
    <hyperlink ref="B520" r:id="rId520" display="https://socket.dev/npm/package/mon-package-react-typescript/overview/1.0.1" xr:uid="{18AE424C-0E87-A94A-AEF3-EFB8BF85D4C3}"/>
    <hyperlink ref="B521" r:id="rId521" display="https://socket.dev/npm/package/my-saeed-lib" xr:uid="{94EB45B4-6F34-6149-8562-F8B01A054EE2}"/>
    <hyperlink ref="B522" r:id="rId522" display="https://socket.dev/npm/package/n8n-nodes-tmdb/overview/0.5.1" xr:uid="{0A81895A-019A-6A43-87B4-1A901113E0DE}"/>
    <hyperlink ref="B523" r:id="rId523" display="https://socket.dev/npm/package/n8n-nodes-vercel-ai-sdk/overview/0.1.7" xr:uid="{3E5A7A52-7B5E-9648-B894-C8FDE139DBF5}"/>
    <hyperlink ref="B524" r:id="rId524" display="https://socket.dev/npm/package/n8n-nodes-viral-app/overview/0.2.5" xr:uid="{C78F771C-EA0C-4A40-A8BE-5245DECF70A9}"/>
    <hyperlink ref="B525" r:id="rId525" display="https://socket.dev/npm/package/ngx-useful-swiper-prosenjit/overview/9.0.2" xr:uid="{3A7B9F10-830A-0E44-9508-4DE9521AB2F6}"/>
    <hyperlink ref="B526" r:id="rId526" display="https://socket.dev/npm/package/ngx-wooapi/overview/12.0.1" xr:uid="{7C5AC030-263D-F94F-A0AA-44CF5A07680F}"/>
    <hyperlink ref="B527" r:id="rId527" display="https://socket.dev/npm/package/nitro-graphql/overview/1.5.12" xr:uid="{B9822222-749F-584E-97AD-11C065418DC6}"/>
    <hyperlink ref="B528" r:id="rId528" display="https://socket.dev/npm/package/nitro-kutu/files/0.1.1" xr:uid="{9277EF72-A719-E549-ACF7-CE21A4DF02F3}"/>
    <hyperlink ref="B529" r:id="rId529" display="https://socket.dev/npm/package/nitrodeploy" xr:uid="{8C236825-93D0-C946-B9D3-3B7DA654BF4B}"/>
    <hyperlink ref="B530" r:id="rId530" display="https://socket.dev/npm/package/nitroping" xr:uid="{60823456-FD4B-A44A-8852-AB18FB87D149}"/>
    <hyperlink ref="B531" r:id="rId531" display="https://socket.dev/npm/package/nuxt-keycloak/overview/0.2.2" xr:uid="{BF80F8AE-A05E-5C42-8069-39685AFFA7DA}"/>
    <hyperlink ref="B532" r:id="rId532" display="https://socket.dev/npm/package/okta-react-router-6/overview/5.0.1" xr:uid="{34796237-E23A-8D4A-953B-407CBEE77A5B}"/>
    <hyperlink ref="B533" r:id="rId533" display="https://socket.dev/npm/package/open2internet/overview/0.1.0" xr:uid="{DB555BB8-6D2F-B04A-86B6-01A52C28E904}"/>
    <hyperlink ref="B534" r:id="rId534" display="https://socket.dev/npm/package/orbit-boxicons/overview/2.1.3" xr:uid="{CFB34E8C-122D-E94B-B4F5-A08DFD8AB7E2}"/>
    <hyperlink ref="B535" r:id="rId535" display="https://socket.dev/npm/package/orbit-nebula-draw-tools/overview/1.0.10" xr:uid="{492F4EE8-FF59-7845-ABD2-49385C4945EE}"/>
    <hyperlink ref="B536" r:id="rId536" display="https://socket.dev/npm/package/orbit-nebula-editor/overview/1.0.2" xr:uid="{98D3B2FF-F015-7447-AD70-05A8CBA70FC4}"/>
    <hyperlink ref="B537" r:id="rId537" display="https://socket.dev/npm/package/orbit-soap/overview/0.43.13" xr:uid="{0AC4BDBD-E510-AC4F-8B4A-EE2849803BAD}"/>
    <hyperlink ref="B538" r:id="rId538" display="https://socket.dev/npm/package/orchestrix/overview/12.1.2" xr:uid="{7ECBF54B-3867-5546-9BE3-A28B6AD50EB7}"/>
    <hyperlink ref="B539" r:id="rId539" display="https://socket.dev/npm/package/package-tester/overview/1.0.1" xr:uid="{390B4EA8-C603-0F41-8684-BC628DE9AB52}"/>
    <hyperlink ref="B540" r:id="rId540" display="https://socket.dev/npm/package/pdf-annotation/overview/0.0.2" xr:uid="{F74D0AEB-FAE9-4F49-A174-977DD4B16AB2}"/>
    <hyperlink ref="B541" r:id="rId541" display="https://socket.dev/npm/package/pergel" xr:uid="{BBDC59D3-150C-6D45-B074-9F6383F97581}"/>
    <hyperlink ref="B542" r:id="rId542" display="https://socket.dev/npm/package/pergeltest/overview/0.0.25" xr:uid="{A9E642DF-9C18-B54C-AFFE-FC545E725A4A}"/>
    <hyperlink ref="B543" r:id="rId543" display="https://socket.dev/npm/package/piclite/overview/1.0.1" xr:uid="{52058C24-0140-214F-894B-E47296CE6450}"/>
    <hyperlink ref="B544" r:id="rId544" display="https://socket.dev/npm/package/pkg-readme/overview/1.1.1" xr:uid="{09111823-C001-474B-ABD9-4568D92864F8}"/>
    <hyperlink ref="B545" r:id="rId545" display="https://socket.dev/npm/package/poper-react-sdk/overview/0.1.2" xr:uid="{8F6403AD-6033-0D4E-8C12-91177B5E8291}"/>
    <hyperlink ref="B546" r:id="rId546" display="https://socket.dev/npm/package/posthog-docusaurus/overview/2.0.6" xr:uid="{C55B196C-3E83-7D4F-9C7D-AB80AB1F312F}"/>
    <hyperlink ref="B547" r:id="rId547" display="https://socket.dev/npm/package/posthog-js/overview/1.297.3" xr:uid="{6A25FFFB-C1B3-E946-B757-351EAAA2763D}"/>
    <hyperlink ref="B548" r:id="rId548" display="https://socket.dev/maven/package/org.mvnpm:posthog-node/overview/4.18.1" xr:uid="{15394B17-E8C3-B04E-88CA-DDAFA0DC1020}"/>
    <hyperlink ref="B549" r:id="rId549" display="https://socket.dev/npm/package/posthog-plugin-hello-world/files/1.0.1" xr:uid="{135E85FE-DC45-414F-9DD5-FA735912A7E4}"/>
    <hyperlink ref="B550" r:id="rId550" display="https://socket.dev/npm/package/prime-one-table/overview/0.0.19" xr:uid="{04547D34-1D24-0F48-A8FC-126ACF156673}"/>
    <hyperlink ref="B551" r:id="rId551" display="https://socket.dev/npm/package/prompt-eng/overview/1.0.50" xr:uid="{1F1D60AD-1367-E648-9A46-BE2A305F35FF}"/>
    <hyperlink ref="B552" r:id="rId552" display="https://socket.dev/npm/package/prompt-eng-server/overview/1.0.18" xr:uid="{A8F09DEF-8D0A-D649-B5E0-978E6F1D361A}"/>
    <hyperlink ref="B553" r:id="rId553" display="https://socket.dev/npm/package/puny-req/overview/1.0.3" xr:uid="{25211121-510B-3C40-BB83-EB28364C4318}"/>
    <hyperlink ref="B554" r:id="rId554" display="https://socket.dev/npm/package/quickswap-default-staking-list" xr:uid="{4B7AA753-5EB8-3D47-B46D-714C5302A78B}"/>
    <hyperlink ref="B555" r:id="rId555" display="https://socket.dev/npm/package/quickswap-ads-list/overview/1.0.33" xr:uid="{C039E043-CEE6-EA4E-B9EB-AF092701A983}"/>
    <hyperlink ref="B556" r:id="rId556" display="https://socket.dev/npm/package/quickswap-default-token-list" xr:uid="{D12C1863-D95C-FF4B-ABA0-BF462A7149F2}"/>
    <hyperlink ref="B557" r:id="rId557" display="https://socket.dev/npm/package/quickswap-router-sdk/overview/1.0.1" xr:uid="{19FFE971-5C5D-344E-B5BA-438BF0186603}"/>
    <hyperlink ref="B558" r:id="rId558" display="https://socket.dev/npm/package/quickswap-sdk" xr:uid="{D25253E7-A078-7D48-B981-84366B82BC73}"/>
    <hyperlink ref="B559" r:id="rId559" display="https://socket.dev/npm/package/quickswap-smart-order-router" xr:uid="{11B1ACE5-00EF-F44D-8544-57D12AE37C67}"/>
    <hyperlink ref="B560" r:id="rId560" display="https://socket.dev/npm/package/quickswap-token-lists/files/1.0.3" xr:uid="{F9AE9034-F644-E14C-AABE-5E11165F3DDD}"/>
    <hyperlink ref="B561" r:id="rId561" display="https://socket.dev/npm/package/quickswap-v2-sdk" xr:uid="{A51E15C0-6060-7D4C-AC70-C7782784D3D2}"/>
    <hyperlink ref="B562" r:id="rId562" display="https://socket.dev/npm/package/ra-auth-firebase/overview/1.0.3" xr:uid="{1FD24BF8-A25C-1143-99AB-AC2D8EAA2D2B}"/>
    <hyperlink ref="B563" r:id="rId563" display="https://socket.dev/npm/package/react-component-taggers/overview/0.1.9" xr:uid="{B3DCBF12-9CD9-1F4E-B17B-99614775B307}"/>
    <hyperlink ref="B564" r:id="rId564" display="https://socket.dev/npm/package/react-data-to-export" xr:uid="{B765DF22-C150-604D-A88B-7AB4787179F3}"/>
    <hyperlink ref="B565" r:id="rId565" display="https://socket.dev/npm/package/react-element-prompt-inspector/overview/0.1.18" xr:uid="{4C5700F4-E661-D642-B811-824B7EF1AA73}"/>
    <hyperlink ref="B566" r:id="rId566" display="https://socket.dev/npm/package/react-favic/overview/1.0.2" xr:uid="{F666FAF5-1F58-0347-8E8F-679B40E49958}"/>
    <hyperlink ref="B567" r:id="rId567" display="https://socket.dev/npm/package/react-library-setup/overview/0.0.6" xr:uid="{1416CCAB-D999-2943-A66F-C1CD1ED0BF6D}"/>
    <hyperlink ref="B568" r:id="rId568" display="https://socket.dev/npm/package/react-linear-loader/overview/1.0.2" xr:uid="{007D6110-41F7-1043-9F89-A5C0B0BA3B96}"/>
    <hyperlink ref="B569" r:id="rId569" display="https://socket.dev/npm/package/react-native-google-maps-directions/overview/2.1.2" xr:uid="{489BE6E6-87A8-9D40-91A1-7217EAF0EB79}"/>
    <hyperlink ref="B570" r:id="rId570" display="https://socket.dev/npm/package/react-native-modest-checkbox/overview/3.3.1" xr:uid="{7841B7B9-A862-D345-AD92-ACE17B19AE3F}"/>
    <hyperlink ref="B571" r:id="rId571" display="https://socket.dev/npm/package/react-native-modest-storage/overview/2.1.1" xr:uid="{37D5E02C-BEB7-0246-B27A-8E8714CF6D6B}"/>
    <hyperlink ref="B572" r:id="rId572" display="https://socket.dev/npm/package/react-native-use-modal" xr:uid="{99ECE92A-3D4D-D943-A66D-F7A4B1A855ED}"/>
    <hyperlink ref="B573" r:id="rId573" display="https://socket.dev/npm/package/react-native-worklet-functions/overview/3.3.3" xr:uid="{82B3E524-A457-4241-8461-79C4273C9216}"/>
    <hyperlink ref="B574" r:id="rId574" display="https://socket.dev/npm/package/react-packery-component" xr:uid="{8D7FEC00-D9A0-3C48-8D90-10C9DAE7D20A}"/>
    <hyperlink ref="B575" r:id="rId575" display="https://socket.dev/npm/package/react-qr-image/overview/1.1.1" xr:uid="{B7E8732B-DB33-214C-8B66-A19E8EDDD766}"/>
    <hyperlink ref="B576" r:id="rId576" display="https://socket.dev/npm/package/rediff/overview/1.0.5" xr:uid="{9BB9DEC1-44FA-FA46-8ABB-76B9EA01CA22}"/>
    <hyperlink ref="B577" r:id="rId577" display="https://socket.dev/npm/package/rediff-viewer" xr:uid="{276F0750-67F4-2F48-ADD3-B61E8988AAC2}"/>
    <hyperlink ref="B578" r:id="rId578" display="https://socket.dev/npm/package/redux-forge/overview/2.5.3" xr:uid="{39D81A53-2A14-5C45-BEB5-DB021D902996}"/>
    <hyperlink ref="B579" r:id="rId579" display="https://socket.dev/npm/package/revenuecat" xr:uid="{F5A159DB-1F4D-C242-AB65-E5503527A5D0}"/>
    <hyperlink ref="B580" r:id="rId580" display="https://socket.dev/npm/package/rollup-plugin-httpfile/overview/0.2.1" xr:uid="{A2CB4C22-B31C-B741-9D1D-DA844F36CE84}"/>
    <hyperlink ref="B581" r:id="rId581" display="https://socket.dev/npm/package/samesame/overview/1.0.3" xr:uid="{79FBD196-8C5E-824B-B514-2D5C0CC21692}"/>
    <hyperlink ref="B582" r:id="rId582" display="https://socket.dev/npm/package/scgs-capacitor-subscribe/overview/1.0.11" xr:uid="{D11925D9-63C1-FC4E-A668-B0E20508F2E0}"/>
    <hyperlink ref="B583" r:id="rId583" display="https://socket.dev/npm/package/scgsffcreator/overview/1.0.5" xr:uid="{75DCFBA4-F411-A642-82DA-E4A202E4B60F}"/>
    <hyperlink ref="B584" r:id="rId584" display="https://socket.dev/npm/package/schob/files/1.0.3" xr:uid="{48DDAE9E-C824-7B44-A94E-613B9C636F45}"/>
    <hyperlink ref="B585" r:id="rId585" display="https://socket.dev/npm/package/selenium-session/overview/1.0.5" xr:uid="{E0F2FD88-CD71-724D-8AA3-B82DB8B54821}"/>
    <hyperlink ref="B586" r:id="rId586" display="https://socket.dev/npm/package/selenium-session-client/overview/1.0.4" xr:uid="{1E9AA443-2FD7-0B45-973E-6C919BF0855A}"/>
    <hyperlink ref="B587" r:id="rId587" display="https://socket.dev/npm/package/shelf-jwt-sessions/overview/0.1.2" xr:uid="{F4B14D88-A15A-1441-AF8E-BA03FEB5AD01}"/>
    <hyperlink ref="B588" r:id="rId588" display="https://socket.dev/npm/package/shinhan-limit-scrap" xr:uid="{2251026F-7DCA-2D45-BDDD-103349454C54}"/>
    <hyperlink ref="B589" r:id="rId589" display="https://socket.dev/npm/package/silgi" xr:uid="{7F2E7129-B3CC-EB4B-B3BA-B3D45D2041B6}"/>
    <hyperlink ref="B590" r:id="rId590" display="https://socket.dev/npm/package/simplejsonform" xr:uid="{52B47130-BA45-7141-BCA4-EF2BBCD8F563}"/>
    <hyperlink ref="B591" r:id="rId591" display="https://socket.dev/npm/package/solomon-api-stories" xr:uid="{254D46E7-2321-324D-BD54-A9B9FE971794}"/>
    <hyperlink ref="B592" r:id="rId592" display="https://socket.dev/npm/package/solomon-v3-stories/overview/1.15.6" xr:uid="{E591D305-96AA-5149-B018-1FA4E40FD53F}"/>
    <hyperlink ref="B593" r:id="rId593" display="https://socket.dev/npm/package/solomon-v3-ui-wrapper" xr:uid="{DB7E52A9-20F4-604C-B5FB-987CE8F0429F}"/>
    <hyperlink ref="B594" r:id="rId594" display="https://socket.dev/npm/package/soneium-acs/overview/1.0.1" xr:uid="{F196A8A2-7F4A-B440-8DB3-0B2FB2ACD5D2}"/>
    <hyperlink ref="B595" r:id="rId595" display="https://socket.dev/npm/package/sort-by-distance/overview/2.0.1" xr:uid="{052B3D79-EC17-6646-88DF-B409569C60C7}"/>
    <hyperlink ref="B596" r:id="rId596" display="https://socket.dev/npm/package/south-african-id-info/overview/1.0.2" xr:uid="{DDF9329B-FFA3-2F46-A399-CA07C6CD0C3B}"/>
    <hyperlink ref="B597" r:id="rId597" display="https://socket.dev/npm/package/stat-fns/overview/1.0.1" xr:uid="{5671D946-B329-844F-BAAC-7C623FA3FA74}"/>
    <hyperlink ref="B598" r:id="rId598" display="https://socket.dev/npm/package/stoor/overview/2.3.2" xr:uid="{E36ABEC9-8DBA-2142-85C5-272C3D95CD1C}"/>
    <hyperlink ref="B599" r:id="rId599" display="https://socket.dev/npm/package/sufetch" xr:uid="{C03695B8-6382-D144-ACC3-FC29C29EB603}"/>
    <hyperlink ref="B600" r:id="rId600" display="https://socket.dev/npm/package/super-commit/overview/1.0.1" xr:uid="{D3AF5DAC-D6B9-BA43-AC7E-07CFE3554065}"/>
    <hyperlink ref="B601" r:id="rId601" display="https://socket.dev/npm/package/svelte-autocomplete-select/overview/1.1.1" xr:uid="{C72EEC7C-622B-A944-BB57-8F119DFB3B00}"/>
    <hyperlink ref="B602" r:id="rId602" display="https://socket.dev/npm/package/tanstack-shadcn-table/overview/1.1.5" xr:uid="{FBB2BC6A-DAD4-D044-9C81-D869283B1618}"/>
    <hyperlink ref="B603" r:id="rId603" display="https://socket.dev/npm/package/tavily-module" xr:uid="{05AAD166-8270-F94E-8687-8E74A2F7A377}"/>
    <hyperlink ref="B604" r:id="rId604" display="https://socket.dev/npm/package/tcsp/overview/2.0.2" xr:uid="{DEE2E0C0-245A-2441-9A29-EEA56E65A972}"/>
    <hyperlink ref="B605" r:id="rId605" display="https://socket.dev/npm/package/tcsp-draw-test/overview/1.0.5" xr:uid="{C1808719-D85B-5444-9C64-CD75FC849AD2}"/>
    <hyperlink ref="B606" r:id="rId606" display="https://socket.dev/npm/package/tcsp-test-vd/overview/2.4.4" xr:uid="{478A02A3-4B94-0640-82C3-8D47BCF250A1}"/>
    <hyperlink ref="B607" r:id="rId607" display="https://socket.dev/npm/package/test23112222-api" xr:uid="{8BEEF05E-8A99-0346-8357-B8A1C79D722A}"/>
    <hyperlink ref="B608" r:id="rId608" display="https://socket.dev/npm/package/tiaan/overview/1.0.2" xr:uid="{0066DE1C-77F0-6C42-BDBA-10D7EFDABE9E}"/>
    <hyperlink ref="B609" r:id="rId609" display="https://socket.dev/npm/package/tiptap-shadcn-vue" xr:uid="{606CAF92-D700-1A47-88BB-1E0D4CD7EB17}"/>
    <hyperlink ref="B610" r:id="rId610" display="https://socket.dev/npm/package/token.js-fork/overview/0.7.32" xr:uid="{6FE13AA4-3EB4-7440-ADC1-E5F927F7569F}"/>
    <hyperlink ref="B611" r:id="rId611" display="https://socket.dev/npm/package/toonfetch" xr:uid="{72F45DCC-24F2-5A48-8643-CF6B1163C154}"/>
    <hyperlink ref="B612" r:id="rId612" display="https://socket.dev/npm/package/trigo-react-app/overview/4.1.2" xr:uid="{819AC2C8-FDF8-4840-8F1C-F1E1A6911D87}"/>
    <hyperlink ref="B613" r:id="rId613" display="https://socket.dev/npm/package/ts-relay-cursor-paging" xr:uid="{0D0FFFD7-8C29-5747-A11E-02DC69E8293F}"/>
    <hyperlink ref="B614" r:id="rId614" display="https://socket.dev/npm/package/typeface-antonio-complete" xr:uid="{80ADEC5F-32EB-8945-84BF-19E8FF3ECC3E}"/>
    <hyperlink ref="B615" r:id="rId615" display="https://socket.dev/npm/package/typeorm-orbit/overview/0.2.27" xr:uid="{DBF6937B-8559-A249-89BA-568D58BC0BE1}"/>
    <hyperlink ref="B616" r:id="rId616" display="https://socket.dev/npm/package/unadapter/overview/0.1.3" xr:uid="{1A4FDC6B-55AF-4340-BBDA-ECB1E636492F}"/>
    <hyperlink ref="B617" r:id="rId617" display="https://socket.dev/npm/package/unemail/overview/0.3.1" xr:uid="{4660492C-8E13-754B-B653-8EC92AF4CB98}"/>
    <hyperlink ref="B618" r:id="rId618" display="https://socket.dev/npm/package/uniswap-router-sdk/overview/1.6.2" xr:uid="{221EF3B7-C757-1F42-AADF-2A0AAE43845F}"/>
    <hyperlink ref="B619" r:id="rId619" display="http://v/" xr:uid="{CE4D9261-683F-D346-99F5-E3527005CDBD}"/>
    <hyperlink ref="B620" r:id="rId620" display="https://socket.dev/npm/package/uniswap-test-sdk-core" xr:uid="{AB1A6C8A-B8C3-AC46-9DCB-8042D49C4A82}"/>
    <hyperlink ref="B621" r:id="rId621" display="https://socket.dev/npm/package/unsearch" xr:uid="{38917F11-0B54-404F-AE70-B335A4E508E7}"/>
    <hyperlink ref="B622" r:id="rId622" display="https://socket.dev/npm/package/uplandui/overview/0.5.4" xr:uid="{99747C17-46FF-384A-8D63-2E3CCF335EA7}"/>
    <hyperlink ref="B623" r:id="rId623" display="https://socket.dev/npm/package/use-unsaved-changes/overview/1.0.9" xr:uid="{DC8F9CC1-732A-F748-82C6-E21850A46B04}"/>
    <hyperlink ref="B624" r:id="rId624" display="https://socket.dev/npm/package/v-plausible/overview/1.2.1" xr:uid="{2A91B942-5E0B-EC42-A368-08EB9683B4F8}"/>
    <hyperlink ref="B625" r:id="rId625" display="https://socket.dev/npm/package/valid-south-african-id/overview/1.0.3" xr:uid="{9E5ADE7C-B561-D54B-A330-CE1A36DB8C2A}"/>
    <hyperlink ref="B626" r:id="rId626" display="https://socket.dev/npm/package/valuedex-sdk/overview/3.0.5" xr:uid="{5BD9045C-1B4D-6E4D-BBAD-BC66F7FD72A0}"/>
    <hyperlink ref="B627" r:id="rId627" display="https://socket.dev/npm/package/vite-plugin-httpfile/overview/0.2.1" xr:uid="{20045332-CC5B-1D4D-AEDB-D3AC530DD6CB}"/>
    <hyperlink ref="B628" r:id="rId628" display="https://socket.dev/npm/package/vue-browserupdate-nuxt/overview/1.0.5" xr:uid="{51EE5024-223E-6649-9498-C758A7CF04A9}"/>
    <hyperlink ref="B629" r:id="rId629" display="https://socket.dev/npm/package/web-scraper-mcp/overview/1.1.4" xr:uid="{1568AB58-CA76-3542-9BD0-4F281FB8DC65}"/>
    <hyperlink ref="B630" r:id="rId630" display="https://socket.dev/npm/package/web-types-htmx/overview/0.1.1" xr:uid="{02A23283-EA6C-774B-8312-ABF463EE183E}"/>
    <hyperlink ref="B631" r:id="rId631" display="https://socket.dev/npm/package/web-types-lit/overview/0.1.1" xr:uid="{02F4FAA7-02D7-0C4D-959C-66AA7D21C7FB}"/>
    <hyperlink ref="B632" r:id="rId632" display="https://socket.dev/npm/package/webpack-loader-httpfile/overview/0.2.1" xr:uid="{260178AC-6BCD-F24E-982A-E29BA7FDC0DC}"/>
    <hyperlink ref="B633" r:id="rId633" display="https://socket.dev/npm/package/wellness-expert-ng-gallery/overview/5.1.1" xr:uid="{E843196D-378B-714C-B724-66C5DA91DA03}"/>
    <hyperlink ref="B634" r:id="rId634" display="https://socket.dev/npm/package/zuper-cli/overview/1.0.1" xr:uid="{E5EB5733-E4CC-BE42-A73D-A99564C42CBC}"/>
    <hyperlink ref="B635" r:id="rId635" display="https://socket.dev/npm/package/zuper-sdk/overview/1.0.57" xr:uid="{857C53A2-A0E5-D84B-8421-A24849434646}"/>
    <hyperlink ref="B636" r:id="rId636" display="https://socket.dev/npm/package/zuper-stream/overview/2.0.9" xr:uid="{2A9F1B8A-A4AD-7641-AAF3-03706EF7373E}"/>
    <hyperlink ref="B637" r:id="rId637" display="http://nuxt-socket.io/" xr:uid="{2FB4B96B-8803-5C4B-BF8D-68B89C0771A8}"/>
    <hyperlink ref="D637" r:id="rId638" display="http://nuxt-socket.io/" xr:uid="{7080EB13-48EF-904C-BF21-34C554EDCE77}"/>
    <hyperlink ref="B638" r:id="rId639" display="http://nuxt-socket.io/" xr:uid="{2549C076-F919-3C48-97A0-CC930E49B415}"/>
    <hyperlink ref="D638" r:id="rId640" display="http://nuxt-socket.io/" xr:uid="{B94B6B91-4F42-9945-AFB5-97C4103F93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Cipollone</dc:creator>
  <cp:lastModifiedBy>Francesco Cipollone</cp:lastModifiedBy>
  <dcterms:created xsi:type="dcterms:W3CDTF">2025-11-26T13:09:25Z</dcterms:created>
  <dcterms:modified xsi:type="dcterms:W3CDTF">2025-11-26T13:10:10Z</dcterms:modified>
</cp:coreProperties>
</file>